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ncent\Source\Repos\lemlewolff\LW_Web\_Templates\"/>
    </mc:Choice>
  </mc:AlternateContent>
  <xr:revisionPtr revIDLastSave="0" documentId="13_ncr:1_{B4E5D42C-B095-4A7A-86C9-D52607EEE071}" xr6:coauthVersionLast="47" xr6:coauthVersionMax="47" xr10:uidLastSave="{00000000-0000-0000-0000-000000000000}"/>
  <bookViews>
    <workbookView xWindow="1500" yWindow="915" windowWidth="27255" windowHeight="14655" tabRatio="212" xr2:uid="{6455282C-9733-4B18-88B6-55E0A49963C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J4" i="2"/>
  <c r="I4" i="2"/>
  <c r="J3" i="2"/>
  <c r="I3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F11" i="2"/>
  <c r="J7" i="2" l="1"/>
  <c r="J8" i="2" s="1"/>
  <c r="I7" i="2"/>
  <c r="I8" i="2" s="1"/>
  <c r="G11" i="2"/>
</calcChain>
</file>

<file path=xl/sharedStrings.xml><?xml version="1.0" encoding="utf-8"?>
<sst xmlns="http://schemas.openxmlformats.org/spreadsheetml/2006/main" count="56" uniqueCount="53">
  <si>
    <t>Legend</t>
  </si>
  <si>
    <t>Metrics</t>
  </si>
  <si>
    <t>Current Progress</t>
  </si>
  <si>
    <t>Category</t>
  </si>
  <si>
    <t>Description</t>
  </si>
  <si>
    <t>Cases</t>
  </si>
  <si>
    <t>Arrears</t>
  </si>
  <si>
    <t>Area</t>
  </si>
  <si>
    <t>LKEM</t>
  </si>
  <si>
    <t>Horing</t>
  </si>
  <si>
    <t>Attorneys</t>
  </si>
  <si>
    <t>Yellow</t>
  </si>
  <si>
    <t>Case Update Needed</t>
  </si>
  <si>
    <t>≤ $5,000</t>
  </si>
  <si>
    <t>Active Cases</t>
  </si>
  <si>
    <t>Orange</t>
  </si>
  <si>
    <t>Lease Needed</t>
  </si>
  <si>
    <t>&gt; $5,000 and ≤ $10,000</t>
  </si>
  <si>
    <t>Static +30 days</t>
  </si>
  <si>
    <t>Lemle</t>
  </si>
  <si>
    <t>Lemle Portfolio</t>
  </si>
  <si>
    <t>&gt; $10,000 and ≤ $20,000</t>
  </si>
  <si>
    <t>Closed Cases</t>
  </si>
  <si>
    <t>Other</t>
  </si>
  <si>
    <t>Other 3rd Parties</t>
  </si>
  <si>
    <t>&gt; $20,000 and ≤ $30,000</t>
  </si>
  <si>
    <t>LKEM Law Firm</t>
  </si>
  <si>
    <t>&gt; $30,000 and ≤ $40,000</t>
  </si>
  <si>
    <t>Recently Updated</t>
  </si>
  <si>
    <t>In House</t>
  </si>
  <si>
    <t>Horing Law Firm</t>
  </si>
  <si>
    <t>&gt; $40,000 and ≤ $50,000</t>
  </si>
  <si>
    <t>% In Motion</t>
  </si>
  <si>
    <t>&gt; $50,000</t>
  </si>
  <si>
    <t>≥ $100,000</t>
  </si>
  <si>
    <t>Total</t>
  </si>
  <si>
    <t>Portfolio</t>
  </si>
  <si>
    <t>Property</t>
  </si>
  <si>
    <t>Unit</t>
  </si>
  <si>
    <t>Tenant Account</t>
  </si>
  <si>
    <t>Name</t>
  </si>
  <si>
    <t>Ending Balance</t>
  </si>
  <si>
    <t>Current Legal Status</t>
  </si>
  <si>
    <t>Last Legal Note</t>
  </si>
  <si>
    <t>Day Counter</t>
  </si>
  <si>
    <t>Attorney</t>
  </si>
  <si>
    <t>Legal Active</t>
  </si>
  <si>
    <t>Present As Of</t>
  </si>
  <si>
    <t>Exclusion Reasons</t>
  </si>
  <si>
    <t>Tenent Status</t>
  </si>
  <si>
    <t>Law Firm</t>
  </si>
  <si>
    <t>Lease Start Date</t>
  </si>
  <si>
    <t>Lease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</si>
</sst>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i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3" fontId="2" fillId="5" borderId="0" xfId="0" quotePrefix="1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14" fontId="1" fillId="3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1C1"/>
        </patternFill>
      </fill>
    </dxf>
  </dxfs>
  <tableStyles count="0" defaultTableStyle="TableStyleMedium2" defaultPivotStyle="PivotStyleLight16"/>
  <colors>
    <mruColors>
      <color rgb="FFFFC1C1"/>
      <color rgb="FFFFC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621A-9594-4DC5-BEAB-55FA428C4FC8}">
  <sheetPr codeName="Sheet1"/>
  <dimension ref="A1:Q17"/>
  <sheetViews>
    <sheetView tabSelected="1" workbookViewId="0">
      <selection activeCell="I18" sqref="I18"/>
    </sheetView>
  </sheetViews>
  <sheetFormatPr defaultRowHeight="15"/>
  <cols>
    <col min="1" max="2" width="8.85546875" bestFit="1" customWidth="1"/>
    <col min="3" max="3" width="7.85546875" customWidth="1"/>
    <col min="4" max="4" width="11.7109375" customWidth="1"/>
    <col min="5" max="5" width="37.140625" customWidth="1"/>
    <col min="6" max="6" width="10.7109375" customWidth="1"/>
    <col min="7" max="7" width="22.28515625" style="21" customWidth="1"/>
    <col min="8" max="8" width="19.5703125" style="26" customWidth="1"/>
    <col min="9" max="9" width="9.85546875" style="21" customWidth="1"/>
    <col min="10" max="10" width="19.5703125" bestFit="1" customWidth="1"/>
    <col min="11" max="11" width="9.140625" style="21"/>
    <col min="12" max="12" width="8.140625" style="21" customWidth="1"/>
    <col min="13" max="13" width="9.85546875" style="21" customWidth="1"/>
    <col min="14" max="14" width="22.85546875" customWidth="1"/>
    <col min="15" max="15" width="12.42578125" customWidth="1"/>
    <col min="16" max="17" width="13" customWidth="1"/>
  </cols>
  <sheetData>
    <row r="1" spans="1:17">
      <c r="A1" s="36" t="s">
        <v>0</v>
      </c>
      <c r="B1" s="37"/>
      <c r="C1" s="37"/>
      <c r="D1" s="37"/>
      <c r="E1" s="37" t="s">
        <v>1</v>
      </c>
      <c r="F1" s="37"/>
      <c r="G1" s="37"/>
      <c r="H1" s="37" t="s">
        <v>2</v>
      </c>
      <c r="I1" s="37"/>
      <c r="J1" s="37"/>
      <c r="K1" s="1"/>
      <c r="L1" s="5"/>
    </row>
    <row r="2" spans="1:17">
      <c r="A2" s="38" t="s">
        <v>3</v>
      </c>
      <c r="B2" s="39"/>
      <c r="C2" s="39" t="s">
        <v>4</v>
      </c>
      <c r="D2" s="40"/>
      <c r="E2" s="3" t="s">
        <v>1</v>
      </c>
      <c r="F2" s="2" t="s">
        <v>5</v>
      </c>
      <c r="G2" s="2" t="s">
        <v>6</v>
      </c>
      <c r="H2" s="44" t="s">
        <v>7</v>
      </c>
      <c r="I2" s="2" t="s">
        <v>8</v>
      </c>
      <c r="J2" s="2" t="s">
        <v>9</v>
      </c>
      <c r="K2" s="31" t="s">
        <v>10</v>
      </c>
      <c r="L2" s="5"/>
    </row>
    <row r="3" spans="1:17">
      <c r="A3" s="41" t="s">
        <v>11</v>
      </c>
      <c r="B3" s="42"/>
      <c r="C3" s="42" t="s">
        <v>12</v>
      </c>
      <c r="D3" s="43"/>
      <c r="E3" s="4" t="s">
        <v>13</v>
      </c>
      <c r="F3" s="4">
        <f>COUNTIFS(F13:F1000000, "&lt;=5000")</f>
        <v>0</v>
      </c>
      <c r="G3" s="9">
        <f>SUMIFS(F13:F1000000, F13:F1000000, "&lt;=5000")</f>
        <v>0</v>
      </c>
      <c r="H3" s="45" t="s">
        <v>14</v>
      </c>
      <c r="I3" s="4">
        <f>COUNTIFS(K13:K1000000, "LKEM", G13:G1000000, "&lt;&gt;")</f>
        <v>0</v>
      </c>
      <c r="J3" s="4">
        <f>COUNTIFS(K13:K1000000, "Horing", G13:G1000000, "&lt;&gt;")</f>
        <v>0</v>
      </c>
      <c r="K3" s="31"/>
      <c r="L3" s="22"/>
    </row>
    <row r="4" spans="1:17">
      <c r="A4" s="33" t="s">
        <v>15</v>
      </c>
      <c r="B4" s="34"/>
      <c r="C4" s="34" t="s">
        <v>16</v>
      </c>
      <c r="D4" s="35"/>
      <c r="E4" s="5" t="s">
        <v>17</v>
      </c>
      <c r="F4" s="5">
        <f>COUNTIFS(F13:F1000000, "&gt;5000", F13:F1000000, "&lt;=10000")</f>
        <v>0</v>
      </c>
      <c r="G4" s="6">
        <f>SUMIFS(F13:F1000000, F13:F1000000, "&gt;5000", F13:F1000000, "&lt;=10000")</f>
        <v>0</v>
      </c>
      <c r="H4" s="46" t="s">
        <v>18</v>
      </c>
      <c r="I4" s="5">
        <f>COUNTIFS(K13:K1000000, "LKEM", I13:I1000000, "&gt;30")</f>
        <v>0</v>
      </c>
      <c r="J4" s="5">
        <f>COUNTIFS(K13:K1000000, "horing", I13:I1000000, "&gt;30")</f>
        <v>0</v>
      </c>
      <c r="K4" s="31"/>
      <c r="L4" s="23"/>
    </row>
    <row r="5" spans="1:17">
      <c r="A5" s="27" t="s">
        <v>19</v>
      </c>
      <c r="B5" s="28"/>
      <c r="C5" s="28" t="s">
        <v>20</v>
      </c>
      <c r="D5" s="29"/>
      <c r="E5" s="7" t="s">
        <v>21</v>
      </c>
      <c r="F5" s="7">
        <f>COUNTIFS(F13:F1000000, "&gt;10000", F13:F1000000, "&lt;=20000")</f>
        <v>0</v>
      </c>
      <c r="G5" s="9">
        <f>SUMIFS(F13:F1000000, F13:F1000000, "&gt;10000", F13:F1000000, "&lt;=20000")</f>
        <v>0</v>
      </c>
      <c r="H5" s="47" t="s">
        <v>22</v>
      </c>
      <c r="I5" s="4">
        <f>COUNTIFS(K13:K1000000, "LKEM", G13:G1000000, "Closed")</f>
        <v>0</v>
      </c>
      <c r="J5" s="4">
        <f>COUNTIFS(K13:K1000000, "Horing", G13:G1000000, "closed")</f>
        <v>0</v>
      </c>
      <c r="K5" s="31"/>
      <c r="L5" s="23"/>
    </row>
    <row r="6" spans="1:17">
      <c r="A6" s="33" t="s">
        <v>23</v>
      </c>
      <c r="B6" s="34"/>
      <c r="C6" s="34" t="s">
        <v>24</v>
      </c>
      <c r="D6" s="35"/>
      <c r="E6" s="5" t="s">
        <v>25</v>
      </c>
      <c r="F6" s="5">
        <f>COUNTIFS(F13:F1000000, "&gt;20000", F13:F1000000, "&lt;=30000")</f>
        <v>0</v>
      </c>
      <c r="G6" s="6">
        <f>SUMIFS(F13:F1000000, F13:F1000000, "&gt;20000", F13:F1000000, "&lt;=30000")</f>
        <v>0</v>
      </c>
      <c r="H6" s="46"/>
      <c r="I6" s="5"/>
      <c r="J6" s="5"/>
      <c r="K6" s="31"/>
      <c r="L6" s="23"/>
    </row>
    <row r="7" spans="1:17">
      <c r="A7" s="27" t="s">
        <v>8</v>
      </c>
      <c r="B7" s="28"/>
      <c r="C7" s="28" t="s">
        <v>26</v>
      </c>
      <c r="D7" s="29"/>
      <c r="E7" s="7" t="s">
        <v>27</v>
      </c>
      <c r="F7" s="10">
        <f>COUNTIFS(F13:F1000000, "&gt;30000", F13:F1000000, "&lt;=40000")</f>
        <v>0</v>
      </c>
      <c r="G7" s="11">
        <f>SUMIFS(F13:F1000000, F13:F1000000, "&gt;30000", F13:F1000000, "&lt;=40000")</f>
        <v>0</v>
      </c>
      <c r="H7" s="48" t="s">
        <v>28</v>
      </c>
      <c r="I7" s="12">
        <f>I3-I4</f>
        <v>0</v>
      </c>
      <c r="J7" s="12">
        <f>J3-J4</f>
        <v>0</v>
      </c>
      <c r="K7" s="30" t="s">
        <v>29</v>
      </c>
      <c r="L7" s="23"/>
    </row>
    <row r="8" spans="1:17">
      <c r="A8" s="33" t="s">
        <v>9</v>
      </c>
      <c r="B8" s="34"/>
      <c r="C8" s="34" t="s">
        <v>30</v>
      </c>
      <c r="D8" s="35"/>
      <c r="E8" s="5" t="s">
        <v>31</v>
      </c>
      <c r="F8" s="5">
        <f>COUNTIFS(F13:F1000000, "&gt;40000", F13:F1000000, "&lt;=50000")</f>
        <v>0</v>
      </c>
      <c r="G8" s="13">
        <f>SUMIFS(F13:F1000000, F13:F1000000, "&gt;40000", F13:F1000000, "&lt;=50000")</f>
        <v>0</v>
      </c>
      <c r="H8" s="46" t="s">
        <v>32</v>
      </c>
      <c r="I8" s="14" t="e">
        <f>ROUND(I7/I3, 2)</f>
        <v>#DIV/0!</v>
      </c>
      <c r="J8" s="14" t="e">
        <f>ROUND(J7/J3, 2)</f>
        <v>#DIV/0!</v>
      </c>
      <c r="K8" s="31"/>
      <c r="L8" s="5"/>
    </row>
    <row r="9" spans="1:17">
      <c r="A9" s="27"/>
      <c r="B9" s="28"/>
      <c r="C9" s="7"/>
      <c r="D9" s="8"/>
      <c r="E9" s="7" t="s">
        <v>33</v>
      </c>
      <c r="F9" s="7">
        <f>COUNTIFS(F13:F1000000, "&gt;50000", F13:F1000000, "&lt;100000")</f>
        <v>0</v>
      </c>
      <c r="G9" s="9">
        <f>SUMIFS(F13:F1000000, F13:F1000000, "&gt;50000", F13:F1000000, "&lt;100000")</f>
        <v>0</v>
      </c>
      <c r="H9" s="47"/>
      <c r="I9" s="7"/>
      <c r="J9" s="7"/>
      <c r="K9" s="31"/>
      <c r="L9" s="5"/>
    </row>
    <row r="10" spans="1:17">
      <c r="A10" s="33"/>
      <c r="B10" s="34"/>
      <c r="C10" s="34"/>
      <c r="D10" s="35"/>
      <c r="E10" s="5" t="s">
        <v>34</v>
      </c>
      <c r="F10" s="5">
        <f>COUNTIFS(F13:F1000000, "&gt;=100000")</f>
        <v>0</v>
      </c>
      <c r="G10" s="6">
        <f>SUMIFS(F13:F1000000, F13:F1000000, "&gt;=100000")</f>
        <v>0</v>
      </c>
      <c r="H10" s="46"/>
      <c r="I10" s="5"/>
      <c r="J10" s="5"/>
      <c r="K10" s="31"/>
      <c r="L10" s="5"/>
    </row>
    <row r="11" spans="1:17">
      <c r="A11" s="27"/>
      <c r="B11" s="28"/>
      <c r="C11" s="28"/>
      <c r="D11" s="29"/>
      <c r="E11" s="15" t="s">
        <v>35</v>
      </c>
      <c r="F11" s="16">
        <f>SUM(F3:F10)</f>
        <v>0</v>
      </c>
      <c r="G11" s="17">
        <f>SUM(G3:G10)</f>
        <v>0</v>
      </c>
      <c r="H11" s="47"/>
      <c r="I11" s="7"/>
      <c r="J11" s="7"/>
      <c r="K11" s="32"/>
      <c r="L11" s="5"/>
    </row>
    <row r="12" spans="1:17" ht="30" customHeight="1">
      <c r="A12" s="18" t="s">
        <v>36</v>
      </c>
      <c r="B12" s="18" t="s">
        <v>37</v>
      </c>
      <c r="C12" s="18" t="s">
        <v>38</v>
      </c>
      <c r="D12" s="19" t="s">
        <v>39</v>
      </c>
      <c r="E12" s="18" t="s">
        <v>40</v>
      </c>
      <c r="F12" s="19" t="s">
        <v>41</v>
      </c>
      <c r="G12" s="19" t="s">
        <v>42</v>
      </c>
      <c r="H12" s="49" t="s">
        <v>43</v>
      </c>
      <c r="I12" s="19" t="s">
        <v>44</v>
      </c>
      <c r="J12" s="20" t="s">
        <v>45</v>
      </c>
      <c r="K12" s="24" t="s">
        <v>50</v>
      </c>
      <c r="L12" s="25" t="s">
        <v>46</v>
      </c>
      <c r="M12" s="25" t="s">
        <v>47</v>
      </c>
      <c r="N12" s="25" t="s">
        <v>48</v>
      </c>
      <c r="O12" s="25" t="s">
        <v>49</v>
      </c>
      <c r="P12" s="25" t="s">
        <v>51</v>
      </c>
      <c r="Q12" s="25" t="s">
        <v>52</v>
      </c>
    </row>
    <row r="13" spans="1:17">
      <c r="Q13" s="26"/>
    </row>
    <row r="14" spans="1:17">
      <c r="Q14" s="26"/>
    </row>
    <row r="15" spans="1:17">
      <c r="Q15" s="26"/>
    </row>
    <row r="16" spans="1:17">
      <c r="Q16" s="26"/>
    </row>
    <row r="17" spans="17:17">
      <c r="Q17" s="26"/>
    </row>
  </sheetData>
  <mergeCells count="24">
    <mergeCell ref="K2:K6"/>
    <mergeCell ref="A3:B3"/>
    <mergeCell ref="C3:D3"/>
    <mergeCell ref="A4:B4"/>
    <mergeCell ref="C4:D4"/>
    <mergeCell ref="A5:B5"/>
    <mergeCell ref="C5:D5"/>
    <mergeCell ref="A6:B6"/>
    <mergeCell ref="C6:D6"/>
    <mergeCell ref="A1:D1"/>
    <mergeCell ref="E1:G1"/>
    <mergeCell ref="H1:J1"/>
    <mergeCell ref="A2:B2"/>
    <mergeCell ref="C2:D2"/>
    <mergeCell ref="A7:B7"/>
    <mergeCell ref="C7:D7"/>
    <mergeCell ref="K7:K11"/>
    <mergeCell ref="A8:B8"/>
    <mergeCell ref="C8:D8"/>
    <mergeCell ref="A9:B9"/>
    <mergeCell ref="A10:B10"/>
    <mergeCell ref="C10:D10"/>
    <mergeCell ref="A11:B11"/>
    <mergeCell ref="C11:D11"/>
  </mergeCells>
  <conditionalFormatting sqref="A13:Q10000">
    <cfRule type="expression" dxfId="0" priority="1">
      <formula>AND($Q13&lt;TODAY(),$B13&lt;&gt;"")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Santangelo</dc:creator>
  <cp:lastModifiedBy>Vincent Santangelo</cp:lastModifiedBy>
  <dcterms:created xsi:type="dcterms:W3CDTF">2025-10-07T16:00:13Z</dcterms:created>
  <dcterms:modified xsi:type="dcterms:W3CDTF">2026-01-15T20:44:20Z</dcterms:modified>
</cp:coreProperties>
</file>