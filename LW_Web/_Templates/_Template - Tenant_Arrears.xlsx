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ncent\Source\Repos\lemlewolff\LW_Web\_Templates\"/>
    </mc:Choice>
  </mc:AlternateContent>
  <xr:revisionPtr revIDLastSave="0" documentId="13_ncr:1_{499F6D58-B11F-4E13-83B4-597E3FB12FE1}" xr6:coauthVersionLast="47" xr6:coauthVersionMax="47" xr10:uidLastSave="{00000000-0000-0000-0000-000000000000}"/>
  <bookViews>
    <workbookView xWindow="1950" yWindow="555" windowWidth="25980" windowHeight="15045" tabRatio="212" xr2:uid="{6455282C-9733-4B18-88B6-55E0A49963C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J5" i="1"/>
  <c r="J4" i="1"/>
  <c r="J3" i="1"/>
  <c r="I4" i="1"/>
  <c r="I3" i="1"/>
  <c r="F10" i="1"/>
  <c r="G10" i="1"/>
  <c r="J7" i="1" l="1"/>
  <c r="J8" i="1" s="1"/>
  <c r="I7" i="1"/>
  <c r="I8" i="1" s="1"/>
  <c r="G11" i="1"/>
  <c r="G3" i="1"/>
  <c r="F5" i="1"/>
  <c r="G8" i="1"/>
  <c r="G6" i="1"/>
  <c r="F8" i="1"/>
  <c r="F4" i="1"/>
  <c r="F6" i="1"/>
  <c r="F7" i="1"/>
  <c r="G5" i="1"/>
  <c r="G9" i="1"/>
  <c r="F11" i="1"/>
  <c r="F9" i="1"/>
  <c r="G4" i="1"/>
  <c r="F3" i="1"/>
  <c r="G7" i="1"/>
</calcChain>
</file>

<file path=xl/sharedStrings.xml><?xml version="1.0" encoding="utf-8"?>
<sst xmlns="http://schemas.openxmlformats.org/spreadsheetml/2006/main" count="62" uniqueCount="59">
  <si>
    <t>Legend</t>
  </si>
  <si>
    <t>Metrics</t>
  </si>
  <si>
    <t>Current Progress</t>
  </si>
  <si>
    <t>Category</t>
  </si>
  <si>
    <t>Description</t>
  </si>
  <si>
    <t>Cases</t>
  </si>
  <si>
    <t>Arrears</t>
  </si>
  <si>
    <t>Area</t>
  </si>
  <si>
    <t>LKEM</t>
  </si>
  <si>
    <t>Horing</t>
  </si>
  <si>
    <t>Attorneys</t>
  </si>
  <si>
    <t>Yellow</t>
  </si>
  <si>
    <t>Case Update Needed</t>
  </si>
  <si>
    <t>≤ $5,000</t>
  </si>
  <si>
    <t>Active Cases</t>
  </si>
  <si>
    <t>Potential Issues</t>
  </si>
  <si>
    <t>Orange</t>
  </si>
  <si>
    <t>Lease Needed</t>
  </si>
  <si>
    <t>&gt; $5,000 and ≤ $10,000</t>
  </si>
  <si>
    <t>Static +30 days</t>
  </si>
  <si>
    <t>When a tenant vacates</t>
  </si>
  <si>
    <t>Lemle</t>
  </si>
  <si>
    <t>Lemle Portfolio</t>
  </si>
  <si>
    <t>&gt; $10,000 and ≤ $20,000</t>
  </si>
  <si>
    <t>Closed Cases</t>
  </si>
  <si>
    <t>Keeping the sheet current with new tenants in arrears</t>
  </si>
  <si>
    <t>Other</t>
  </si>
  <si>
    <t>Other 3rd Parties</t>
  </si>
  <si>
    <t>&gt; $20,000 and ≤ $30,000</t>
  </si>
  <si>
    <t>Closed cases need to be removed at the end of the month to not skew new month data</t>
  </si>
  <si>
    <t>LKEM Law Firm</t>
  </si>
  <si>
    <t>&gt; $30,000 and ≤ $40,000</t>
  </si>
  <si>
    <t>Recently Updated</t>
  </si>
  <si>
    <t>In House</t>
  </si>
  <si>
    <t>Need to verify if tenants have vacated if legal status is closed so that we can send to collections</t>
  </si>
  <si>
    <t>Horing Law Firm</t>
  </si>
  <si>
    <t>&gt; $40,000 and ≤ $50,000</t>
  </si>
  <si>
    <t>% In Motion</t>
  </si>
  <si>
    <t>&gt; $50,000</t>
  </si>
  <si>
    <t>≥ $100,000</t>
  </si>
  <si>
    <t>Total</t>
  </si>
  <si>
    <t>Portfolio</t>
  </si>
  <si>
    <t>Property</t>
  </si>
  <si>
    <t>Unit</t>
  </si>
  <si>
    <t>Tenant Account</t>
  </si>
  <si>
    <t>Name</t>
  </si>
  <si>
    <t>Ending Balance</t>
  </si>
  <si>
    <t>Current Legal Status</t>
  </si>
  <si>
    <t>Last Legal Note</t>
  </si>
  <si>
    <t>Day Counter</t>
  </si>
  <si>
    <t>Attorney</t>
  </si>
  <si>
    <t>Legal Active</t>
  </si>
  <si>
    <t>Present As Of</t>
  </si>
  <si>
    <t>Exclusion Reasons</t>
  </si>
  <si>
    <t>Tenent Status</t>
  </si>
  <si>
    <t>Move In Date</t>
  </si>
  <si>
    <t>Law Firm</t>
  </si>
  <si>
    <t>Lease Start Date</t>
  </si>
  <si>
    <t>Lease End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</si>
</sst>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name val="Aptos Narrow"/>
      <scheme val="minor"/>
    </font>
    <font>
      <sz val="11"/>
      <name val="Aptos Narrow"/>
      <scheme val="minor"/>
    </font>
    <font>
      <sz val="11"/>
      <color rgb="FF000000"/>
      <name val="Aptos Narrow"/>
      <scheme val="minor"/>
    </font>
    <font>
      <i/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2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38" fontId="3" fillId="5" borderId="0" xfId="0" applyNumberFormat="1" applyFont="1" applyFill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3" fontId="2" fillId="5" borderId="0" xfId="0" applyNumberFormat="1" applyFont="1" applyFill="1" applyAlignment="1">
      <alignment horizontal="center" vertical="center"/>
    </xf>
    <xf numFmtId="0" fontId="0" fillId="5" borderId="0" xfId="0" quotePrefix="1" applyFill="1" applyAlignment="1">
      <alignment horizontal="center" vertical="center"/>
    </xf>
    <xf numFmtId="3" fontId="2" fillId="5" borderId="0" xfId="0" quotePrefix="1" applyNumberFormat="1" applyFont="1" applyFill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3" fontId="2" fillId="0" borderId="0" xfId="0" quotePrefix="1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14" fontId="0" fillId="0" borderId="0" xfId="0" applyNumberFormat="1"/>
    <xf numFmtId="49" fontId="0" fillId="0" borderId="0" xfId="0" applyNumberFormat="1"/>
    <xf numFmtId="49" fontId="0" fillId="0" borderId="0" xfId="0" applyNumberFormat="1" applyAlignment="1">
      <alignment horizontal="left"/>
    </xf>
    <xf numFmtId="0" fontId="1" fillId="3" borderId="1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3" borderId="12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63688-34CE-4D5F-95B5-D66457E92675}">
  <dimension ref="A1:R5590"/>
  <sheetViews>
    <sheetView tabSelected="1" workbookViewId="0">
      <selection activeCell="A11" sqref="A11:B11"/>
    </sheetView>
  </sheetViews>
  <sheetFormatPr defaultRowHeight="15"/>
  <cols>
    <col min="1" max="2" width="8.85546875" bestFit="1" customWidth="1"/>
    <col min="3" max="3" width="7.85546875" customWidth="1"/>
    <col min="4" max="4" width="11.7109375" customWidth="1"/>
    <col min="5" max="5" width="37.140625" customWidth="1"/>
    <col min="6" max="6" width="10.7109375" customWidth="1"/>
    <col min="7" max="7" width="22.28515625" style="31" customWidth="1"/>
    <col min="8" max="8" width="19.5703125" customWidth="1"/>
    <col min="9" max="9" width="9.85546875" style="31" customWidth="1"/>
    <col min="10" max="10" width="19.5703125" bestFit="1" customWidth="1"/>
    <col min="11" max="11" width="9.140625" style="31"/>
    <col min="12" max="12" width="8.140625" style="31" customWidth="1"/>
    <col min="13" max="13" width="9.85546875" style="31" customWidth="1"/>
    <col min="14" max="14" width="22.85546875" customWidth="1"/>
    <col min="15" max="15" width="12.42578125" customWidth="1"/>
    <col min="16" max="18" width="13" customWidth="1"/>
  </cols>
  <sheetData>
    <row r="1" spans="1:18">
      <c r="A1" s="44" t="s">
        <v>0</v>
      </c>
      <c r="B1" s="45"/>
      <c r="C1" s="45"/>
      <c r="D1" s="45"/>
      <c r="E1" s="45" t="s">
        <v>1</v>
      </c>
      <c r="F1" s="45"/>
      <c r="G1" s="45"/>
      <c r="H1" s="45" t="s">
        <v>2</v>
      </c>
      <c r="I1" s="45"/>
      <c r="J1" s="45"/>
      <c r="K1" s="1"/>
      <c r="L1" s="9"/>
    </row>
    <row r="2" spans="1:18">
      <c r="A2" s="46" t="s">
        <v>3</v>
      </c>
      <c r="B2" s="47"/>
      <c r="C2" s="47" t="s">
        <v>4</v>
      </c>
      <c r="D2" s="48"/>
      <c r="E2" s="4" t="s">
        <v>1</v>
      </c>
      <c r="F2" s="3" t="s">
        <v>5</v>
      </c>
      <c r="G2" s="3" t="s">
        <v>6</v>
      </c>
      <c r="H2" s="2" t="s">
        <v>7</v>
      </c>
      <c r="I2" s="3" t="s">
        <v>8</v>
      </c>
      <c r="J2" s="3" t="s">
        <v>9</v>
      </c>
      <c r="K2" s="39" t="s">
        <v>10</v>
      </c>
      <c r="L2" s="9"/>
    </row>
    <row r="3" spans="1:18">
      <c r="A3" s="49" t="s">
        <v>11</v>
      </c>
      <c r="B3" s="50"/>
      <c r="C3" s="50" t="s">
        <v>12</v>
      </c>
      <c r="D3" s="51"/>
      <c r="E3" s="6" t="s">
        <v>13</v>
      </c>
      <c r="F3" s="6">
        <f ca="1">COUNTIFS(F:F, "&lt;=5000")</f>
        <v>2396</v>
      </c>
      <c r="G3" s="7">
        <f ca="1">SUMIFS(F:F, F:F, "&lt;=5000")</f>
        <v>2843980.5699999989</v>
      </c>
      <c r="H3" s="5" t="s">
        <v>14</v>
      </c>
      <c r="I3" s="6">
        <f>COUNTIFS(K13:K9000, "LKEM", G13:G9000, "&lt;&gt;")</f>
        <v>0</v>
      </c>
      <c r="J3" s="6">
        <f>COUNTIFS(K13:K9000, "Horing", G13:G9000, "&lt;&gt;")</f>
        <v>0</v>
      </c>
      <c r="K3" s="39"/>
      <c r="L3" s="32" t="s">
        <v>15</v>
      </c>
    </row>
    <row r="4" spans="1:18">
      <c r="A4" s="41" t="s">
        <v>16</v>
      </c>
      <c r="B4" s="42"/>
      <c r="C4" s="42" t="s">
        <v>17</v>
      </c>
      <c r="D4" s="43"/>
      <c r="E4" s="9" t="s">
        <v>18</v>
      </c>
      <c r="F4" s="9">
        <f ca="1">COUNTIFS(F:F, "&gt;5000", F:F, "&lt;=10000")</f>
        <v>231</v>
      </c>
      <c r="G4" s="10">
        <f ca="1">SUMIFS(F:F, F:F, "&gt;5000", F:F, "&lt;=10000")</f>
        <v>1542586.2500000002</v>
      </c>
      <c r="H4" s="8" t="s">
        <v>19</v>
      </c>
      <c r="I4" s="9">
        <f>COUNTIFS(K13:K9000, "LKEM", I13:I9000, "&gt;30")</f>
        <v>0</v>
      </c>
      <c r="J4" s="9">
        <f>COUNTIFS(K13:K9000, "horing", I13:I9000, "&gt;30")</f>
        <v>0</v>
      </c>
      <c r="K4" s="39"/>
      <c r="L4" s="33" t="s">
        <v>20</v>
      </c>
    </row>
    <row r="5" spans="1:18">
      <c r="A5" s="35" t="s">
        <v>21</v>
      </c>
      <c r="B5" s="36"/>
      <c r="C5" s="36" t="s">
        <v>22</v>
      </c>
      <c r="D5" s="37"/>
      <c r="E5" s="12" t="s">
        <v>23</v>
      </c>
      <c r="F5" s="12">
        <f ca="1">COUNTIFS(F:F, "&gt;10000", F:F, "&lt;=20000")</f>
        <v>153</v>
      </c>
      <c r="G5" s="14">
        <f ca="1">SUMIFS(F:F, F:F, "&gt;10000", F:F, "&lt;=20000")</f>
        <v>2273811.1700000004</v>
      </c>
      <c r="H5" s="11" t="s">
        <v>24</v>
      </c>
      <c r="I5" s="6">
        <f>COUNTIFS(K13:K9000, "LKEM", G13:G9000, "Closed")</f>
        <v>0</v>
      </c>
      <c r="J5" s="6">
        <f>COUNTIFS(K13:K9000, "Horing", G13:G9000, "closed")</f>
        <v>0</v>
      </c>
      <c r="K5" s="39"/>
      <c r="L5" s="33" t="s">
        <v>25</v>
      </c>
    </row>
    <row r="6" spans="1:18">
      <c r="A6" s="41" t="s">
        <v>26</v>
      </c>
      <c r="B6" s="42"/>
      <c r="C6" s="42" t="s">
        <v>27</v>
      </c>
      <c r="D6" s="43"/>
      <c r="E6" s="9" t="s">
        <v>28</v>
      </c>
      <c r="F6" s="9">
        <f ca="1">COUNTIFS(F:F, "&gt;20000", F:F, "&lt;=30000")</f>
        <v>76</v>
      </c>
      <c r="G6" s="10">
        <f ca="1">SUMIFS(F:F, F:F, "&gt;20000", F:F, "&lt;=30000")</f>
        <v>1865507.73</v>
      </c>
      <c r="H6" s="8"/>
      <c r="I6" s="9"/>
      <c r="J6" s="9"/>
      <c r="K6" s="39"/>
      <c r="L6" s="33" t="s">
        <v>29</v>
      </c>
    </row>
    <row r="7" spans="1:18">
      <c r="A7" s="35" t="s">
        <v>8</v>
      </c>
      <c r="B7" s="36"/>
      <c r="C7" s="36" t="s">
        <v>30</v>
      </c>
      <c r="D7" s="37"/>
      <c r="E7" s="12" t="s">
        <v>31</v>
      </c>
      <c r="F7" s="15">
        <f ca="1">COUNTIFS(F:F, "&gt;30000", F:F, "&lt;=40000")</f>
        <v>36</v>
      </c>
      <c r="G7" s="16">
        <f ca="1">SUMIFS(F:F, F:F, "&gt;30000", F:F, "&lt;=40000")</f>
        <v>1231562.9499999997</v>
      </c>
      <c r="H7" s="17" t="s">
        <v>32</v>
      </c>
      <c r="I7" s="18">
        <f>I3-I4</f>
        <v>0</v>
      </c>
      <c r="J7" s="18">
        <f>J3-J4</f>
        <v>0</v>
      </c>
      <c r="K7" s="38" t="s">
        <v>33</v>
      </c>
      <c r="L7" s="33" t="s">
        <v>34</v>
      </c>
    </row>
    <row r="8" spans="1:18">
      <c r="A8" s="41" t="s">
        <v>9</v>
      </c>
      <c r="B8" s="42"/>
      <c r="C8" s="42" t="s">
        <v>35</v>
      </c>
      <c r="D8" s="43"/>
      <c r="E8" s="9" t="s">
        <v>36</v>
      </c>
      <c r="F8" s="9">
        <f ca="1">COUNTIFS(F:F, "&gt;40000", F:F, "&lt;=50000")</f>
        <v>31</v>
      </c>
      <c r="G8" s="19">
        <f ca="1">SUMIFS(F:F, F:F, "&gt;40000", F:F, "&lt;=50000")</f>
        <v>1385768.7100000002</v>
      </c>
      <c r="H8" s="8" t="s">
        <v>37</v>
      </c>
      <c r="I8" s="20" t="e">
        <f>ROUND(I7/I3, 2)</f>
        <v>#DIV/0!</v>
      </c>
      <c r="J8" s="20" t="e">
        <f>ROUND(J7/J3, 2)</f>
        <v>#DIV/0!</v>
      </c>
      <c r="K8" s="39"/>
      <c r="L8" s="9"/>
    </row>
    <row r="9" spans="1:18">
      <c r="A9" s="35"/>
      <c r="B9" s="36"/>
      <c r="C9" s="12"/>
      <c r="D9" s="13"/>
      <c r="E9" s="12" t="s">
        <v>38</v>
      </c>
      <c r="F9" s="12">
        <f ca="1">COUNTIFS(F:F, "&gt;50000", F:F, "&lt;100000")</f>
        <v>45</v>
      </c>
      <c r="G9" s="14">
        <f ca="1">SUMIFS(F:F, F:F, "&gt;50000", F:F, "&lt;100000")</f>
        <v>2769539.1799999992</v>
      </c>
      <c r="H9" s="11"/>
      <c r="I9" s="12"/>
      <c r="J9" s="12"/>
      <c r="K9" s="39"/>
      <c r="L9" s="9"/>
    </row>
    <row r="10" spans="1:18">
      <c r="A10" s="41"/>
      <c r="B10" s="42"/>
      <c r="C10" s="42"/>
      <c r="D10" s="43"/>
      <c r="E10" s="9" t="s">
        <v>39</v>
      </c>
      <c r="F10" s="9">
        <f>COUNTIFS(F13:F2890, "&gt;=100000")</f>
        <v>0</v>
      </c>
      <c r="G10" s="10">
        <f>SUMIFS(F13:F2890, F13:F2890, "&gt;=100000")</f>
        <v>0</v>
      </c>
      <c r="H10" s="8"/>
      <c r="I10" s="9"/>
      <c r="J10" s="9"/>
      <c r="K10" s="39"/>
      <c r="L10" s="9"/>
    </row>
    <row r="11" spans="1:18">
      <c r="A11" s="35"/>
      <c r="B11" s="36"/>
      <c r="C11" s="36"/>
      <c r="D11" s="37"/>
      <c r="E11" s="21" t="s">
        <v>40</v>
      </c>
      <c r="F11" s="22">
        <f ca="1">SUM(F3:F10)</f>
        <v>2969</v>
      </c>
      <c r="G11" s="23">
        <f ca="1">SUM(G3:G10)</f>
        <v>14023001.210000001</v>
      </c>
      <c r="H11" s="11"/>
      <c r="I11" s="12"/>
      <c r="J11" s="12"/>
      <c r="K11" s="40"/>
      <c r="L11" s="9"/>
    </row>
    <row r="12" spans="1:18" ht="30">
      <c r="A12" s="24" t="s">
        <v>41</v>
      </c>
      <c r="B12" s="24" t="s">
        <v>42</v>
      </c>
      <c r="C12" s="24" t="s">
        <v>43</v>
      </c>
      <c r="D12" s="25" t="s">
        <v>44</v>
      </c>
      <c r="E12" s="24" t="s">
        <v>45</v>
      </c>
      <c r="F12" s="25" t="s">
        <v>46</v>
      </c>
      <c r="G12" s="25" t="s">
        <v>47</v>
      </c>
      <c r="H12" s="25" t="s">
        <v>48</v>
      </c>
      <c r="I12" s="25" t="s">
        <v>49</v>
      </c>
      <c r="J12" s="26" t="s">
        <v>50</v>
      </c>
      <c r="K12" s="34" t="s">
        <v>56</v>
      </c>
      <c r="L12" s="30" t="s">
        <v>51</v>
      </c>
      <c r="M12" s="30" t="s">
        <v>52</v>
      </c>
      <c r="N12" s="30" t="s">
        <v>53</v>
      </c>
      <c r="O12" s="30" t="s">
        <v>54</v>
      </c>
      <c r="P12" s="30" t="s">
        <v>55</v>
      </c>
      <c r="Q12" s="30" t="s">
        <v>57</v>
      </c>
      <c r="R12" s="30" t="s">
        <v>58</v>
      </c>
    </row>
    <row r="13" spans="1:18">
      <c r="A13" s="28"/>
      <c r="B13" s="29"/>
      <c r="C13" s="29"/>
      <c r="D13" s="29"/>
      <c r="E13" s="29"/>
      <c r="H13" s="27"/>
      <c r="K13"/>
      <c r="P13" s="27"/>
      <c r="Q13" s="27"/>
      <c r="R13" s="27"/>
    </row>
    <row r="14" spans="1:18">
      <c r="A14" s="28"/>
      <c r="B14" s="29"/>
      <c r="C14" s="29"/>
      <c r="D14" s="29"/>
      <c r="E14" s="29"/>
      <c r="H14" s="27"/>
      <c r="K14"/>
      <c r="P14" s="27"/>
      <c r="Q14" s="27"/>
      <c r="R14" s="27"/>
    </row>
    <row r="15" spans="1:18">
      <c r="A15" s="28"/>
      <c r="B15" s="29"/>
      <c r="C15" s="29"/>
      <c r="D15" s="29"/>
      <c r="E15" s="29"/>
      <c r="H15" s="27"/>
      <c r="K15"/>
      <c r="P15" s="27"/>
      <c r="Q15" s="27"/>
      <c r="R15" s="27"/>
    </row>
    <row r="16" spans="1:18">
      <c r="A16" s="28"/>
      <c r="B16" s="29"/>
      <c r="C16" s="29"/>
      <c r="D16" s="29"/>
      <c r="E16" s="29"/>
      <c r="H16" s="27"/>
      <c r="K16"/>
      <c r="P16" s="27"/>
      <c r="Q16" s="27"/>
      <c r="R16" s="27"/>
    </row>
    <row r="17" spans="1:18">
      <c r="A17" s="28"/>
      <c r="B17" s="29"/>
      <c r="C17" s="29"/>
      <c r="D17" s="29"/>
      <c r="E17" s="29"/>
      <c r="H17" s="27"/>
      <c r="K17"/>
      <c r="P17" s="27"/>
      <c r="Q17" s="27"/>
      <c r="R17" s="27"/>
    </row>
    <row r="18" spans="1:18">
      <c r="A18" s="28"/>
      <c r="B18" s="29"/>
      <c r="C18" s="29"/>
      <c r="D18" s="29"/>
      <c r="E18" s="29"/>
      <c r="H18" s="27"/>
      <c r="K18"/>
      <c r="P18" s="27"/>
      <c r="Q18" s="27"/>
      <c r="R18" s="27"/>
    </row>
    <row r="19" spans="1:18">
      <c r="A19" s="28"/>
      <c r="B19" s="29"/>
      <c r="C19" s="29"/>
      <c r="D19" s="29"/>
      <c r="E19" s="29"/>
      <c r="H19" s="27"/>
      <c r="K19"/>
      <c r="P19" s="27"/>
      <c r="Q19" s="27"/>
      <c r="R19" s="27"/>
    </row>
    <row r="20" spans="1:18">
      <c r="A20" s="28"/>
      <c r="B20" s="29"/>
      <c r="C20" s="29"/>
      <c r="D20" s="29"/>
      <c r="E20" s="29"/>
      <c r="H20" s="27"/>
      <c r="K20"/>
      <c r="P20" s="27"/>
      <c r="Q20" s="27"/>
      <c r="R20" s="27"/>
    </row>
    <row r="21" spans="1:18">
      <c r="A21" s="28"/>
      <c r="B21" s="29"/>
      <c r="C21" s="29"/>
      <c r="D21" s="29"/>
      <c r="E21" s="29"/>
      <c r="H21" s="27"/>
      <c r="K21"/>
      <c r="P21" s="27"/>
      <c r="Q21" s="27"/>
      <c r="R21" s="27"/>
    </row>
    <row r="22" spans="1:18">
      <c r="A22" s="28"/>
      <c r="B22" s="29"/>
      <c r="C22" s="29"/>
      <c r="D22" s="29"/>
      <c r="E22" s="29"/>
      <c r="H22" s="27"/>
      <c r="K22"/>
      <c r="P22" s="27"/>
      <c r="Q22" s="27"/>
      <c r="R22" s="27"/>
    </row>
    <row r="23" spans="1:18">
      <c r="A23" s="28"/>
      <c r="B23" s="29"/>
      <c r="C23" s="29"/>
      <c r="D23" s="29"/>
      <c r="E23" s="29"/>
      <c r="H23" s="27"/>
      <c r="K23"/>
      <c r="P23" s="27"/>
      <c r="Q23" s="27"/>
      <c r="R23" s="27"/>
    </row>
    <row r="24" spans="1:18">
      <c r="A24" s="28"/>
      <c r="B24" s="29"/>
      <c r="C24" s="29"/>
      <c r="D24" s="29"/>
      <c r="E24" s="29"/>
      <c r="H24" s="27"/>
      <c r="K24"/>
      <c r="P24" s="27"/>
      <c r="Q24" s="27"/>
      <c r="R24" s="27"/>
    </row>
    <row r="25" spans="1:18">
      <c r="A25" s="28"/>
      <c r="B25" s="29"/>
      <c r="C25" s="29"/>
      <c r="D25" s="29"/>
      <c r="E25" s="29"/>
      <c r="H25" s="27"/>
      <c r="K25"/>
      <c r="P25" s="27"/>
      <c r="Q25" s="27"/>
      <c r="R25" s="27"/>
    </row>
    <row r="26" spans="1:18">
      <c r="A26" s="28"/>
      <c r="B26" s="29"/>
      <c r="C26" s="29"/>
      <c r="D26" s="29"/>
      <c r="E26" s="29"/>
      <c r="H26" s="27"/>
      <c r="K26"/>
      <c r="P26" s="27"/>
      <c r="Q26" s="27"/>
      <c r="R26" s="27"/>
    </row>
    <row r="27" spans="1:18">
      <c r="A27" s="28"/>
      <c r="B27" s="29"/>
      <c r="C27" s="29"/>
      <c r="D27" s="29"/>
      <c r="E27" s="29"/>
      <c r="H27" s="27"/>
      <c r="K27"/>
      <c r="P27" s="27"/>
      <c r="Q27" s="27"/>
      <c r="R27" s="27"/>
    </row>
    <row r="28" spans="1:18">
      <c r="A28" s="28"/>
      <c r="B28" s="29"/>
      <c r="C28" s="29"/>
      <c r="D28" s="29"/>
      <c r="E28" s="29"/>
      <c r="H28" s="27"/>
      <c r="K28"/>
      <c r="P28" s="27"/>
      <c r="Q28" s="27"/>
      <c r="R28" s="27"/>
    </row>
    <row r="29" spans="1:18">
      <c r="A29" s="28"/>
      <c r="B29" s="29"/>
      <c r="C29" s="29"/>
      <c r="D29" s="29"/>
      <c r="E29" s="29"/>
      <c r="H29" s="27"/>
      <c r="K29"/>
      <c r="P29" s="27"/>
      <c r="Q29" s="27"/>
      <c r="R29" s="27"/>
    </row>
    <row r="30" spans="1:18">
      <c r="A30" s="28"/>
      <c r="B30" s="29"/>
      <c r="C30" s="29"/>
      <c r="D30" s="29"/>
      <c r="E30" s="29"/>
      <c r="H30" s="27"/>
      <c r="K30"/>
      <c r="P30" s="27"/>
      <c r="Q30" s="27"/>
      <c r="R30" s="27"/>
    </row>
    <row r="31" spans="1:18">
      <c r="A31" s="28"/>
      <c r="B31" s="29"/>
      <c r="C31" s="29"/>
      <c r="D31" s="29"/>
      <c r="E31" s="29"/>
      <c r="H31" s="27"/>
      <c r="K31"/>
      <c r="P31" s="27"/>
      <c r="Q31" s="27"/>
      <c r="R31" s="27"/>
    </row>
    <row r="32" spans="1:18">
      <c r="A32" s="28"/>
      <c r="B32" s="29"/>
      <c r="C32" s="29"/>
      <c r="D32" s="29"/>
      <c r="E32" s="29"/>
      <c r="H32" s="27"/>
      <c r="K32"/>
      <c r="P32" s="27"/>
      <c r="Q32" s="27"/>
      <c r="R32" s="27"/>
    </row>
    <row r="33" spans="1:18">
      <c r="A33" s="28"/>
      <c r="B33" s="29"/>
      <c r="C33" s="29"/>
      <c r="D33" s="29"/>
      <c r="E33" s="29"/>
      <c r="H33" s="27"/>
      <c r="K33"/>
      <c r="P33" s="27"/>
      <c r="Q33" s="27"/>
      <c r="R33" s="27"/>
    </row>
    <row r="34" spans="1:18">
      <c r="A34" s="28"/>
      <c r="B34" s="29"/>
      <c r="C34" s="29"/>
      <c r="D34" s="29"/>
      <c r="E34" s="29"/>
      <c r="H34" s="27"/>
      <c r="K34"/>
      <c r="P34" s="27"/>
      <c r="Q34" s="27"/>
      <c r="R34" s="27"/>
    </row>
    <row r="35" spans="1:18">
      <c r="A35" s="28"/>
      <c r="B35" s="29"/>
      <c r="C35" s="29"/>
      <c r="D35" s="29"/>
      <c r="E35" s="29"/>
      <c r="H35" s="27"/>
      <c r="K35"/>
      <c r="P35" s="27"/>
      <c r="Q35" s="27"/>
      <c r="R35" s="27"/>
    </row>
    <row r="36" spans="1:18">
      <c r="A36" s="28"/>
      <c r="B36" s="29"/>
      <c r="C36" s="29"/>
      <c r="D36" s="29"/>
      <c r="E36" s="29"/>
      <c r="H36" s="27"/>
      <c r="K36"/>
      <c r="P36" s="27"/>
      <c r="Q36" s="27"/>
      <c r="R36" s="27"/>
    </row>
    <row r="37" spans="1:18">
      <c r="A37" s="28"/>
      <c r="B37" s="29"/>
      <c r="C37" s="29"/>
      <c r="D37" s="29"/>
      <c r="E37" s="29"/>
      <c r="H37" s="27"/>
      <c r="K37"/>
      <c r="P37" s="27"/>
      <c r="Q37" s="27"/>
      <c r="R37" s="27"/>
    </row>
    <row r="38" spans="1:18">
      <c r="A38" s="28"/>
      <c r="B38" s="29"/>
      <c r="C38" s="29"/>
      <c r="D38" s="29"/>
      <c r="E38" s="29"/>
      <c r="H38" s="27"/>
      <c r="K38"/>
      <c r="P38" s="27"/>
      <c r="Q38" s="27"/>
      <c r="R38" s="27"/>
    </row>
    <row r="39" spans="1:18">
      <c r="A39" s="28"/>
      <c r="B39" s="29"/>
      <c r="C39" s="29"/>
      <c r="D39" s="29"/>
      <c r="E39" s="29"/>
      <c r="H39" s="27"/>
      <c r="K39"/>
      <c r="P39" s="27"/>
      <c r="Q39" s="27"/>
      <c r="R39" s="27"/>
    </row>
    <row r="40" spans="1:18">
      <c r="A40" s="28"/>
      <c r="B40" s="29"/>
      <c r="C40" s="29"/>
      <c r="D40" s="29"/>
      <c r="E40" s="29"/>
      <c r="H40" s="27"/>
      <c r="K40"/>
      <c r="P40" s="27"/>
      <c r="Q40" s="27"/>
      <c r="R40" s="27"/>
    </row>
    <row r="41" spans="1:18">
      <c r="A41" s="28"/>
      <c r="B41" s="29"/>
      <c r="C41" s="29"/>
      <c r="D41" s="29"/>
      <c r="E41" s="29"/>
      <c r="H41" s="27"/>
      <c r="K41"/>
      <c r="P41" s="27"/>
      <c r="Q41" s="27"/>
      <c r="R41" s="27"/>
    </row>
    <row r="42" spans="1:18">
      <c r="A42" s="28"/>
      <c r="B42" s="29"/>
      <c r="C42" s="29"/>
      <c r="D42" s="29"/>
      <c r="E42" s="29"/>
      <c r="H42" s="27"/>
      <c r="K42"/>
      <c r="P42" s="27"/>
      <c r="Q42" s="27"/>
      <c r="R42" s="27"/>
    </row>
    <row r="43" spans="1:18">
      <c r="A43" s="28"/>
      <c r="B43" s="29"/>
      <c r="C43" s="29"/>
      <c r="D43" s="29"/>
      <c r="E43" s="29"/>
      <c r="H43" s="27"/>
      <c r="K43"/>
      <c r="P43" s="27"/>
      <c r="Q43" s="27"/>
      <c r="R43" s="27"/>
    </row>
    <row r="44" spans="1:18">
      <c r="A44" s="28"/>
      <c r="B44" s="29"/>
      <c r="C44" s="29"/>
      <c r="D44" s="29"/>
      <c r="E44" s="29"/>
      <c r="H44" s="27"/>
      <c r="K44"/>
      <c r="P44" s="27"/>
      <c r="Q44" s="27"/>
      <c r="R44" s="27"/>
    </row>
    <row r="45" spans="1:18">
      <c r="A45" s="28"/>
      <c r="B45" s="29"/>
      <c r="C45" s="29"/>
      <c r="D45" s="29"/>
      <c r="E45" s="29"/>
      <c r="H45" s="27"/>
      <c r="K45"/>
      <c r="P45" s="27"/>
      <c r="Q45" s="27"/>
      <c r="R45" s="27"/>
    </row>
    <row r="46" spans="1:18">
      <c r="A46" s="28"/>
      <c r="B46" s="29"/>
      <c r="C46" s="29"/>
      <c r="D46" s="29"/>
      <c r="E46" s="29"/>
      <c r="H46" s="27"/>
      <c r="K46"/>
      <c r="P46" s="27"/>
      <c r="Q46" s="27"/>
      <c r="R46" s="27"/>
    </row>
    <row r="47" spans="1:18">
      <c r="A47" s="28"/>
      <c r="B47" s="29"/>
      <c r="C47" s="29"/>
      <c r="D47" s="29"/>
      <c r="E47" s="29"/>
      <c r="H47" s="27"/>
      <c r="K47"/>
      <c r="P47" s="27"/>
      <c r="Q47" s="27"/>
      <c r="R47" s="27"/>
    </row>
    <row r="48" spans="1:18">
      <c r="A48" s="28"/>
      <c r="B48" s="29"/>
      <c r="C48" s="29"/>
      <c r="D48" s="29"/>
      <c r="E48" s="29"/>
      <c r="H48" s="27"/>
      <c r="K48"/>
      <c r="P48" s="27"/>
      <c r="Q48" s="27"/>
      <c r="R48" s="27"/>
    </row>
    <row r="49" spans="1:18">
      <c r="A49" s="28"/>
      <c r="B49" s="29"/>
      <c r="C49" s="29"/>
      <c r="D49" s="29"/>
      <c r="E49" s="29"/>
      <c r="H49" s="27"/>
      <c r="K49"/>
      <c r="P49" s="27"/>
      <c r="Q49" s="27"/>
      <c r="R49" s="27"/>
    </row>
    <row r="50" spans="1:18">
      <c r="A50" s="28"/>
      <c r="B50" s="29"/>
      <c r="C50" s="29"/>
      <c r="D50" s="29"/>
      <c r="E50" s="29"/>
      <c r="H50" s="27"/>
      <c r="K50"/>
      <c r="P50" s="27"/>
      <c r="Q50" s="27"/>
      <c r="R50" s="27"/>
    </row>
    <row r="51" spans="1:18">
      <c r="A51" s="28"/>
      <c r="B51" s="29"/>
      <c r="C51" s="29"/>
      <c r="D51" s="29"/>
      <c r="E51" s="29"/>
      <c r="H51" s="27"/>
      <c r="K51"/>
      <c r="P51" s="27"/>
      <c r="Q51" s="27"/>
      <c r="R51" s="27"/>
    </row>
    <row r="52" spans="1:18">
      <c r="A52" s="28"/>
      <c r="B52" s="29"/>
      <c r="C52" s="29"/>
      <c r="D52" s="29"/>
      <c r="E52" s="29"/>
      <c r="H52" s="27"/>
      <c r="K52"/>
      <c r="P52" s="27"/>
      <c r="Q52" s="27"/>
      <c r="R52" s="27"/>
    </row>
    <row r="53" spans="1:18">
      <c r="A53" s="28"/>
      <c r="B53" s="29"/>
      <c r="C53" s="29"/>
      <c r="D53" s="29"/>
      <c r="E53" s="29"/>
      <c r="H53" s="27"/>
      <c r="K53"/>
      <c r="P53" s="27"/>
      <c r="Q53" s="27"/>
      <c r="R53" s="27"/>
    </row>
    <row r="54" spans="1:18">
      <c r="A54" s="28"/>
      <c r="B54" s="29"/>
      <c r="C54" s="29"/>
      <c r="D54" s="29"/>
      <c r="E54" s="29"/>
      <c r="H54" s="27"/>
      <c r="K54"/>
      <c r="P54" s="27"/>
      <c r="Q54" s="27"/>
      <c r="R54" s="27"/>
    </row>
    <row r="55" spans="1:18">
      <c r="A55" s="28"/>
      <c r="B55" s="29"/>
      <c r="C55" s="29"/>
      <c r="D55" s="29"/>
      <c r="E55" s="29"/>
      <c r="H55" s="27"/>
      <c r="K55"/>
      <c r="P55" s="27"/>
      <c r="Q55" s="27"/>
      <c r="R55" s="27"/>
    </row>
    <row r="56" spans="1:18">
      <c r="A56" s="28"/>
      <c r="B56" s="29"/>
      <c r="C56" s="29"/>
      <c r="D56" s="29"/>
      <c r="E56" s="29"/>
      <c r="H56" s="27"/>
      <c r="K56"/>
      <c r="P56" s="27"/>
      <c r="Q56" s="27"/>
      <c r="R56" s="27"/>
    </row>
    <row r="57" spans="1:18">
      <c r="A57" s="28"/>
      <c r="B57" s="29"/>
      <c r="C57" s="29"/>
      <c r="D57" s="29"/>
      <c r="E57" s="29"/>
      <c r="H57" s="27"/>
      <c r="K57"/>
      <c r="P57" s="27"/>
      <c r="Q57" s="27"/>
      <c r="R57" s="27"/>
    </row>
    <row r="58" spans="1:18">
      <c r="A58" s="28"/>
      <c r="B58" s="29"/>
      <c r="C58" s="29"/>
      <c r="D58" s="29"/>
      <c r="E58" s="29"/>
      <c r="H58" s="27"/>
      <c r="K58"/>
      <c r="P58" s="27"/>
      <c r="Q58" s="27"/>
      <c r="R58" s="27"/>
    </row>
    <row r="59" spans="1:18">
      <c r="A59" s="28"/>
      <c r="B59" s="29"/>
      <c r="C59" s="29"/>
      <c r="D59" s="29"/>
      <c r="E59" s="29"/>
      <c r="H59" s="27"/>
      <c r="K59"/>
      <c r="P59" s="27"/>
      <c r="Q59" s="27"/>
      <c r="R59" s="27"/>
    </row>
    <row r="60" spans="1:18">
      <c r="A60" s="28"/>
      <c r="B60" s="29"/>
      <c r="C60" s="29"/>
      <c r="D60" s="29"/>
      <c r="E60" s="29"/>
      <c r="H60" s="27"/>
      <c r="K60"/>
      <c r="P60" s="27"/>
      <c r="Q60" s="27"/>
      <c r="R60" s="27"/>
    </row>
    <row r="61" spans="1:18">
      <c r="A61" s="28"/>
      <c r="B61" s="29"/>
      <c r="C61" s="29"/>
      <c r="D61" s="29"/>
      <c r="E61" s="29"/>
      <c r="H61" s="27"/>
      <c r="K61"/>
      <c r="P61" s="27"/>
      <c r="Q61" s="27"/>
      <c r="R61" s="27"/>
    </row>
    <row r="62" spans="1:18">
      <c r="A62" s="28"/>
      <c r="B62" s="29"/>
      <c r="C62" s="29"/>
      <c r="D62" s="29"/>
      <c r="E62" s="29"/>
      <c r="H62" s="27"/>
      <c r="K62"/>
      <c r="P62" s="27"/>
      <c r="Q62" s="27"/>
      <c r="R62" s="27"/>
    </row>
    <row r="63" spans="1:18">
      <c r="A63" s="28"/>
      <c r="B63" s="29"/>
      <c r="C63" s="29"/>
      <c r="D63" s="29"/>
      <c r="E63" s="29"/>
      <c r="H63" s="27"/>
      <c r="K63"/>
      <c r="P63" s="27"/>
      <c r="Q63" s="27"/>
      <c r="R63" s="27"/>
    </row>
    <row r="64" spans="1:18">
      <c r="A64" s="28"/>
      <c r="B64" s="29"/>
      <c r="C64" s="29"/>
      <c r="D64" s="29"/>
      <c r="E64" s="29"/>
      <c r="H64" s="27"/>
      <c r="K64"/>
      <c r="P64" s="27"/>
      <c r="Q64" s="27"/>
      <c r="R64" s="27"/>
    </row>
    <row r="65" spans="1:18">
      <c r="A65" s="28"/>
      <c r="B65" s="29"/>
      <c r="C65" s="29"/>
      <c r="D65" s="29"/>
      <c r="E65" s="29"/>
      <c r="H65" s="27"/>
      <c r="K65"/>
      <c r="P65" s="27"/>
      <c r="Q65" s="27"/>
      <c r="R65" s="27"/>
    </row>
    <row r="66" spans="1:18">
      <c r="A66" s="28"/>
      <c r="B66" s="29"/>
      <c r="C66" s="29"/>
      <c r="D66" s="29"/>
      <c r="E66" s="29"/>
      <c r="H66" s="27"/>
      <c r="K66"/>
      <c r="P66" s="27"/>
      <c r="Q66" s="27"/>
      <c r="R66" s="27"/>
    </row>
    <row r="67" spans="1:18">
      <c r="A67" s="28"/>
      <c r="B67" s="29"/>
      <c r="C67" s="29"/>
      <c r="D67" s="29"/>
      <c r="E67" s="29"/>
      <c r="H67" s="27"/>
      <c r="K67"/>
      <c r="P67" s="27"/>
      <c r="Q67" s="27"/>
      <c r="R67" s="27"/>
    </row>
    <row r="68" spans="1:18">
      <c r="A68" s="28"/>
      <c r="B68" s="29"/>
      <c r="C68" s="29"/>
      <c r="D68" s="29"/>
      <c r="E68" s="29"/>
      <c r="H68" s="27"/>
      <c r="K68"/>
      <c r="P68" s="27"/>
      <c r="Q68" s="27"/>
      <c r="R68" s="27"/>
    </row>
    <row r="69" spans="1:18">
      <c r="A69" s="28"/>
      <c r="B69" s="29"/>
      <c r="C69" s="29"/>
      <c r="D69" s="29"/>
      <c r="E69" s="29"/>
      <c r="H69" s="27"/>
      <c r="K69"/>
      <c r="P69" s="27"/>
      <c r="Q69" s="27"/>
      <c r="R69" s="27"/>
    </row>
    <row r="70" spans="1:18">
      <c r="A70" s="28"/>
      <c r="B70" s="29"/>
      <c r="C70" s="29"/>
      <c r="D70" s="29"/>
      <c r="E70" s="29"/>
      <c r="H70" s="27"/>
      <c r="K70"/>
      <c r="P70" s="27"/>
      <c r="Q70" s="27"/>
      <c r="R70" s="27"/>
    </row>
    <row r="71" spans="1:18">
      <c r="A71" s="28"/>
      <c r="B71" s="29"/>
      <c r="C71" s="29"/>
      <c r="D71" s="29"/>
      <c r="E71" s="29"/>
      <c r="H71" s="27"/>
      <c r="K71"/>
      <c r="P71" s="27"/>
      <c r="Q71" s="27"/>
      <c r="R71" s="27"/>
    </row>
    <row r="72" spans="1:18">
      <c r="A72" s="28"/>
      <c r="B72" s="29"/>
      <c r="C72" s="29"/>
      <c r="D72" s="29"/>
      <c r="E72" s="29"/>
      <c r="H72" s="27"/>
      <c r="K72"/>
      <c r="P72" s="27"/>
      <c r="Q72" s="27"/>
      <c r="R72" s="27"/>
    </row>
    <row r="73" spans="1:18">
      <c r="A73" s="28"/>
      <c r="B73" s="29"/>
      <c r="C73" s="29"/>
      <c r="D73" s="29"/>
      <c r="E73" s="29"/>
      <c r="H73" s="27"/>
      <c r="K73"/>
      <c r="P73" s="27"/>
      <c r="Q73" s="27"/>
      <c r="R73" s="27"/>
    </row>
    <row r="74" spans="1:18">
      <c r="A74" s="28"/>
      <c r="B74" s="29"/>
      <c r="C74" s="29"/>
      <c r="D74" s="29"/>
      <c r="E74" s="29"/>
      <c r="H74" s="27"/>
      <c r="K74"/>
      <c r="P74" s="27"/>
      <c r="Q74" s="27"/>
      <c r="R74" s="27"/>
    </row>
    <row r="75" spans="1:18">
      <c r="A75" s="28"/>
      <c r="B75" s="29"/>
      <c r="C75" s="29"/>
      <c r="D75" s="29"/>
      <c r="E75" s="29"/>
      <c r="H75" s="27"/>
      <c r="K75"/>
      <c r="P75" s="27"/>
      <c r="Q75" s="27"/>
      <c r="R75" s="27"/>
    </row>
    <row r="76" spans="1:18">
      <c r="A76" s="28"/>
      <c r="B76" s="29"/>
      <c r="C76" s="29"/>
      <c r="D76" s="29"/>
      <c r="E76" s="29"/>
      <c r="H76" s="27"/>
      <c r="K76"/>
      <c r="P76" s="27"/>
      <c r="Q76" s="27"/>
      <c r="R76" s="27"/>
    </row>
    <row r="77" spans="1:18">
      <c r="A77" s="28"/>
      <c r="B77" s="29"/>
      <c r="C77" s="29"/>
      <c r="D77" s="29"/>
      <c r="E77" s="29"/>
      <c r="H77" s="27"/>
      <c r="K77"/>
      <c r="P77" s="27"/>
      <c r="Q77" s="27"/>
      <c r="R77" s="27"/>
    </row>
    <row r="78" spans="1:18">
      <c r="A78" s="28"/>
      <c r="B78" s="29"/>
      <c r="C78" s="29"/>
      <c r="D78" s="29"/>
      <c r="E78" s="29"/>
      <c r="H78" s="27"/>
      <c r="K78"/>
      <c r="P78" s="27"/>
      <c r="Q78" s="27"/>
      <c r="R78" s="27"/>
    </row>
    <row r="79" spans="1:18">
      <c r="A79" s="28"/>
      <c r="B79" s="29"/>
      <c r="C79" s="29"/>
      <c r="D79" s="29"/>
      <c r="E79" s="29"/>
      <c r="H79" s="27"/>
      <c r="K79"/>
      <c r="P79" s="27"/>
      <c r="Q79" s="27"/>
      <c r="R79" s="27"/>
    </row>
    <row r="80" spans="1:18">
      <c r="A80" s="28"/>
      <c r="B80" s="29"/>
      <c r="C80" s="29"/>
      <c r="D80" s="29"/>
      <c r="E80" s="29"/>
      <c r="H80" s="27"/>
      <c r="K80"/>
      <c r="P80" s="27"/>
      <c r="Q80" s="27"/>
      <c r="R80" s="27"/>
    </row>
    <row r="81" spans="1:18">
      <c r="A81" s="28"/>
      <c r="B81" s="29"/>
      <c r="C81" s="29"/>
      <c r="D81" s="29"/>
      <c r="E81" s="29"/>
      <c r="H81" s="27"/>
      <c r="K81"/>
      <c r="P81" s="27"/>
      <c r="Q81" s="27"/>
      <c r="R81" s="27"/>
    </row>
    <row r="82" spans="1:18">
      <c r="A82" s="28"/>
      <c r="B82" s="29"/>
      <c r="C82" s="29"/>
      <c r="D82" s="29"/>
      <c r="E82" s="29"/>
      <c r="H82" s="27"/>
      <c r="K82"/>
      <c r="P82" s="27"/>
      <c r="Q82" s="27"/>
      <c r="R82" s="27"/>
    </row>
    <row r="83" spans="1:18">
      <c r="A83" s="28"/>
      <c r="B83" s="29"/>
      <c r="C83" s="29"/>
      <c r="D83" s="29"/>
      <c r="E83" s="29"/>
      <c r="H83" s="27"/>
      <c r="K83"/>
      <c r="P83" s="27"/>
      <c r="Q83" s="27"/>
      <c r="R83" s="27"/>
    </row>
    <row r="84" spans="1:18">
      <c r="A84" s="28"/>
      <c r="B84" s="29"/>
      <c r="C84" s="29"/>
      <c r="D84" s="29"/>
      <c r="E84" s="29"/>
      <c r="H84" s="27"/>
      <c r="K84"/>
      <c r="P84" s="27"/>
      <c r="Q84" s="27"/>
      <c r="R84" s="27"/>
    </row>
    <row r="85" spans="1:18">
      <c r="A85" s="28"/>
      <c r="B85" s="29"/>
      <c r="C85" s="29"/>
      <c r="D85" s="29"/>
      <c r="E85" s="29"/>
      <c r="H85" s="27"/>
      <c r="K85"/>
      <c r="P85" s="27"/>
      <c r="Q85" s="27"/>
      <c r="R85" s="27"/>
    </row>
    <row r="86" spans="1:18">
      <c r="A86" s="28"/>
      <c r="B86" s="29"/>
      <c r="C86" s="29"/>
      <c r="D86" s="29"/>
      <c r="E86" s="29"/>
      <c r="H86" s="27"/>
      <c r="K86"/>
      <c r="P86" s="27"/>
      <c r="Q86" s="27"/>
      <c r="R86" s="27"/>
    </row>
    <row r="87" spans="1:18">
      <c r="A87" s="28"/>
      <c r="B87" s="29"/>
      <c r="C87" s="29"/>
      <c r="D87" s="29"/>
      <c r="E87" s="29"/>
      <c r="H87" s="27"/>
      <c r="K87"/>
      <c r="P87" s="27"/>
      <c r="Q87" s="27"/>
      <c r="R87" s="27"/>
    </row>
    <row r="88" spans="1:18">
      <c r="A88" s="28"/>
      <c r="B88" s="29"/>
      <c r="C88" s="29"/>
      <c r="D88" s="29"/>
      <c r="E88" s="29"/>
      <c r="H88" s="27"/>
      <c r="K88"/>
      <c r="P88" s="27"/>
      <c r="Q88" s="27"/>
      <c r="R88" s="27"/>
    </row>
    <row r="89" spans="1:18">
      <c r="A89" s="28"/>
      <c r="B89" s="29"/>
      <c r="C89" s="29"/>
      <c r="D89" s="29"/>
      <c r="E89" s="29"/>
      <c r="H89" s="27"/>
      <c r="K89"/>
      <c r="P89" s="27"/>
      <c r="Q89" s="27"/>
      <c r="R89" s="27"/>
    </row>
    <row r="90" spans="1:18">
      <c r="A90" s="28"/>
      <c r="B90" s="29"/>
      <c r="C90" s="29"/>
      <c r="D90" s="29"/>
      <c r="E90" s="29"/>
      <c r="H90" s="27"/>
      <c r="K90"/>
      <c r="P90" s="27"/>
      <c r="Q90" s="27"/>
      <c r="R90" s="27"/>
    </row>
    <row r="91" spans="1:18">
      <c r="A91" s="28"/>
      <c r="B91" s="29"/>
      <c r="C91" s="29"/>
      <c r="D91" s="29"/>
      <c r="E91" s="29"/>
      <c r="H91" s="27"/>
      <c r="K91"/>
      <c r="P91" s="27"/>
      <c r="Q91" s="27"/>
      <c r="R91" s="27"/>
    </row>
    <row r="92" spans="1:18">
      <c r="A92" s="28"/>
      <c r="B92" s="29"/>
      <c r="C92" s="29"/>
      <c r="D92" s="29"/>
      <c r="E92" s="29"/>
      <c r="H92" s="27"/>
      <c r="K92"/>
      <c r="P92" s="27"/>
      <c r="Q92" s="27"/>
      <c r="R92" s="27"/>
    </row>
    <row r="93" spans="1:18">
      <c r="A93" s="28"/>
      <c r="B93" s="29"/>
      <c r="C93" s="29"/>
      <c r="D93" s="29"/>
      <c r="E93" s="29"/>
      <c r="H93" s="27"/>
      <c r="K93"/>
      <c r="P93" s="27"/>
      <c r="Q93" s="27"/>
      <c r="R93" s="27"/>
    </row>
    <row r="94" spans="1:18">
      <c r="A94" s="28"/>
      <c r="B94" s="29"/>
      <c r="C94" s="29"/>
      <c r="D94" s="29"/>
      <c r="E94" s="29"/>
      <c r="H94" s="27"/>
      <c r="K94"/>
      <c r="P94" s="27"/>
      <c r="Q94" s="27"/>
      <c r="R94" s="27"/>
    </row>
    <row r="95" spans="1:18">
      <c r="A95" s="28"/>
      <c r="B95" s="29"/>
      <c r="C95" s="29"/>
      <c r="D95" s="29"/>
      <c r="E95" s="29"/>
      <c r="H95" s="27"/>
      <c r="K95"/>
      <c r="P95" s="27"/>
      <c r="Q95" s="27"/>
      <c r="R95" s="27"/>
    </row>
    <row r="96" spans="1:18">
      <c r="A96" s="28"/>
      <c r="B96" s="29"/>
      <c r="C96" s="29"/>
      <c r="D96" s="29"/>
      <c r="E96" s="29"/>
      <c r="H96" s="27"/>
      <c r="K96"/>
      <c r="P96" s="27"/>
      <c r="Q96" s="27"/>
      <c r="R96" s="27"/>
    </row>
    <row r="97" spans="1:18">
      <c r="A97" s="28"/>
      <c r="B97" s="29"/>
      <c r="C97" s="29"/>
      <c r="D97" s="29"/>
      <c r="E97" s="29"/>
      <c r="H97" s="27"/>
      <c r="K97"/>
      <c r="P97" s="27"/>
      <c r="Q97" s="27"/>
      <c r="R97" s="27"/>
    </row>
    <row r="98" spans="1:18">
      <c r="A98" s="28"/>
      <c r="B98" s="29"/>
      <c r="C98" s="29"/>
      <c r="D98" s="29"/>
      <c r="E98" s="29"/>
      <c r="H98" s="27"/>
      <c r="K98"/>
      <c r="P98" s="27"/>
      <c r="Q98" s="27"/>
      <c r="R98" s="27"/>
    </row>
    <row r="99" spans="1:18">
      <c r="A99" s="28"/>
      <c r="B99" s="29"/>
      <c r="C99" s="29"/>
      <c r="D99" s="29"/>
      <c r="E99" s="29"/>
      <c r="H99" s="27"/>
      <c r="K99"/>
      <c r="P99" s="27"/>
      <c r="Q99" s="27"/>
      <c r="R99" s="27"/>
    </row>
    <row r="100" spans="1:18">
      <c r="A100" s="28"/>
      <c r="B100" s="29"/>
      <c r="C100" s="29"/>
      <c r="D100" s="29"/>
      <c r="E100" s="29"/>
      <c r="H100" s="27"/>
      <c r="K100"/>
      <c r="P100" s="27"/>
      <c r="Q100" s="27"/>
      <c r="R100" s="27"/>
    </row>
    <row r="101" spans="1:18">
      <c r="A101" s="28"/>
      <c r="B101" s="29"/>
      <c r="C101" s="29"/>
      <c r="D101" s="29"/>
      <c r="E101" s="29"/>
      <c r="H101" s="27"/>
      <c r="K101"/>
      <c r="P101" s="27"/>
      <c r="Q101" s="27"/>
      <c r="R101" s="27"/>
    </row>
    <row r="102" spans="1:18">
      <c r="A102" s="28"/>
      <c r="B102" s="29"/>
      <c r="C102" s="29"/>
      <c r="D102" s="29"/>
      <c r="E102" s="29"/>
      <c r="H102" s="27"/>
      <c r="K102"/>
      <c r="P102" s="27"/>
      <c r="Q102" s="27"/>
      <c r="R102" s="27"/>
    </row>
    <row r="103" spans="1:18">
      <c r="A103" s="28"/>
      <c r="B103" s="29"/>
      <c r="C103" s="29"/>
      <c r="D103" s="29"/>
      <c r="E103" s="29"/>
      <c r="H103" s="27"/>
      <c r="K103"/>
      <c r="P103" s="27"/>
      <c r="Q103" s="27"/>
      <c r="R103" s="27"/>
    </row>
    <row r="104" spans="1:18">
      <c r="A104" s="28"/>
      <c r="B104" s="29"/>
      <c r="C104" s="29"/>
      <c r="D104" s="29"/>
      <c r="E104" s="29"/>
      <c r="H104" s="27"/>
      <c r="K104"/>
      <c r="P104" s="27"/>
      <c r="Q104" s="27"/>
      <c r="R104" s="27"/>
    </row>
    <row r="105" spans="1:18">
      <c r="A105" s="28"/>
      <c r="B105" s="29"/>
      <c r="C105" s="29"/>
      <c r="D105" s="29"/>
      <c r="E105" s="29"/>
      <c r="H105" s="27"/>
      <c r="K105"/>
      <c r="P105" s="27"/>
      <c r="Q105" s="27"/>
      <c r="R105" s="27"/>
    </row>
    <row r="106" spans="1:18">
      <c r="A106" s="28"/>
      <c r="B106" s="29"/>
      <c r="C106" s="29"/>
      <c r="D106" s="29"/>
      <c r="E106" s="29"/>
      <c r="H106" s="27"/>
      <c r="K106"/>
      <c r="P106" s="27"/>
      <c r="Q106" s="27"/>
      <c r="R106" s="27"/>
    </row>
    <row r="107" spans="1:18">
      <c r="A107" s="28"/>
      <c r="B107" s="29"/>
      <c r="C107" s="29"/>
      <c r="D107" s="29"/>
      <c r="E107" s="29"/>
      <c r="H107" s="27"/>
      <c r="K107"/>
      <c r="P107" s="27"/>
      <c r="Q107" s="27"/>
      <c r="R107" s="27"/>
    </row>
    <row r="108" spans="1:18">
      <c r="A108" s="28"/>
      <c r="B108" s="29"/>
      <c r="C108" s="29"/>
      <c r="D108" s="29"/>
      <c r="E108" s="29"/>
      <c r="H108" s="27"/>
      <c r="K108"/>
      <c r="P108" s="27"/>
      <c r="Q108" s="27"/>
      <c r="R108" s="27"/>
    </row>
    <row r="109" spans="1:18">
      <c r="A109" s="28"/>
      <c r="B109" s="29"/>
      <c r="C109" s="29"/>
      <c r="D109" s="29"/>
      <c r="E109" s="29"/>
      <c r="H109" s="27"/>
      <c r="K109"/>
      <c r="P109" s="27"/>
      <c r="Q109" s="27"/>
      <c r="R109" s="27"/>
    </row>
    <row r="110" spans="1:18">
      <c r="A110" s="28"/>
      <c r="B110" s="29"/>
      <c r="C110" s="29"/>
      <c r="D110" s="29"/>
      <c r="E110" s="29"/>
      <c r="H110" s="27"/>
      <c r="K110"/>
      <c r="P110" s="27"/>
      <c r="Q110" s="27"/>
      <c r="R110" s="27"/>
    </row>
    <row r="111" spans="1:18">
      <c r="A111" s="28"/>
      <c r="B111" s="29"/>
      <c r="C111" s="29"/>
      <c r="D111" s="29"/>
      <c r="E111" s="29"/>
      <c r="H111" s="27"/>
      <c r="K111"/>
      <c r="P111" s="27"/>
      <c r="Q111" s="27"/>
      <c r="R111" s="27"/>
    </row>
    <row r="112" spans="1:18">
      <c r="A112" s="28"/>
      <c r="B112" s="29"/>
      <c r="C112" s="29"/>
      <c r="D112" s="29"/>
      <c r="E112" s="29"/>
      <c r="H112" s="27"/>
      <c r="K112"/>
      <c r="P112" s="27"/>
      <c r="Q112" s="27"/>
      <c r="R112" s="27"/>
    </row>
    <row r="113" spans="1:18">
      <c r="A113" s="28"/>
      <c r="B113" s="29"/>
      <c r="C113" s="29"/>
      <c r="D113" s="29"/>
      <c r="E113" s="29"/>
      <c r="H113" s="27"/>
      <c r="K113"/>
      <c r="P113" s="27"/>
      <c r="Q113" s="27"/>
      <c r="R113" s="27"/>
    </row>
    <row r="114" spans="1:18">
      <c r="A114" s="28"/>
      <c r="B114" s="29"/>
      <c r="C114" s="29"/>
      <c r="D114" s="29"/>
      <c r="E114" s="29"/>
      <c r="H114" s="27"/>
      <c r="K114"/>
      <c r="P114" s="27"/>
      <c r="Q114" s="27"/>
      <c r="R114" s="27"/>
    </row>
    <row r="115" spans="1:18">
      <c r="A115" s="28"/>
      <c r="B115" s="29"/>
      <c r="C115" s="29"/>
      <c r="D115" s="29"/>
      <c r="E115" s="29"/>
      <c r="H115" s="27"/>
      <c r="K115"/>
      <c r="P115" s="27"/>
      <c r="Q115" s="27"/>
      <c r="R115" s="27"/>
    </row>
    <row r="116" spans="1:18">
      <c r="A116" s="28"/>
      <c r="B116" s="29"/>
      <c r="C116" s="29"/>
      <c r="D116" s="29"/>
      <c r="E116" s="29"/>
      <c r="H116" s="27"/>
      <c r="K116"/>
      <c r="P116" s="27"/>
      <c r="Q116" s="27"/>
      <c r="R116" s="27"/>
    </row>
    <row r="117" spans="1:18">
      <c r="A117" s="28"/>
      <c r="B117" s="29"/>
      <c r="C117" s="29"/>
      <c r="D117" s="29"/>
      <c r="E117" s="29"/>
      <c r="H117" s="27"/>
      <c r="K117"/>
      <c r="P117" s="27"/>
      <c r="Q117" s="27"/>
      <c r="R117" s="27"/>
    </row>
    <row r="118" spans="1:18">
      <c r="A118" s="28"/>
      <c r="B118" s="29"/>
      <c r="C118" s="29"/>
      <c r="D118" s="29"/>
      <c r="E118" s="29"/>
      <c r="H118" s="27"/>
      <c r="K118"/>
      <c r="P118" s="27"/>
      <c r="Q118" s="27"/>
      <c r="R118" s="27"/>
    </row>
    <row r="119" spans="1:18">
      <c r="A119" s="28"/>
      <c r="B119" s="29"/>
      <c r="C119" s="29"/>
      <c r="D119" s="29"/>
      <c r="E119" s="29"/>
      <c r="H119" s="27"/>
      <c r="K119"/>
      <c r="P119" s="27"/>
      <c r="Q119" s="27"/>
      <c r="R119" s="27"/>
    </row>
    <row r="120" spans="1:18">
      <c r="A120" s="28"/>
      <c r="B120" s="29"/>
      <c r="C120" s="29"/>
      <c r="D120" s="29"/>
      <c r="E120" s="29"/>
      <c r="H120" s="27"/>
      <c r="K120"/>
      <c r="P120" s="27"/>
      <c r="Q120" s="27"/>
      <c r="R120" s="27"/>
    </row>
    <row r="121" spans="1:18">
      <c r="A121" s="28"/>
      <c r="B121" s="29"/>
      <c r="C121" s="29"/>
      <c r="D121" s="29"/>
      <c r="E121" s="29"/>
      <c r="H121" s="27"/>
      <c r="K121"/>
      <c r="P121" s="27"/>
      <c r="Q121" s="27"/>
      <c r="R121" s="27"/>
    </row>
    <row r="122" spans="1:18">
      <c r="A122" s="28"/>
      <c r="B122" s="29"/>
      <c r="C122" s="29"/>
      <c r="D122" s="29"/>
      <c r="E122" s="29"/>
      <c r="H122" s="27"/>
      <c r="K122"/>
      <c r="P122" s="27"/>
      <c r="Q122" s="27"/>
      <c r="R122" s="27"/>
    </row>
    <row r="123" spans="1:18">
      <c r="A123" s="28"/>
      <c r="B123" s="29"/>
      <c r="C123" s="29"/>
      <c r="D123" s="29"/>
      <c r="E123" s="29"/>
      <c r="H123" s="27"/>
      <c r="K123"/>
      <c r="P123" s="27"/>
      <c r="Q123" s="27"/>
      <c r="R123" s="27"/>
    </row>
    <row r="124" spans="1:18">
      <c r="A124" s="28"/>
      <c r="B124" s="29"/>
      <c r="C124" s="29"/>
      <c r="D124" s="29"/>
      <c r="E124" s="29"/>
      <c r="H124" s="27"/>
      <c r="K124"/>
      <c r="P124" s="27"/>
      <c r="Q124" s="27"/>
      <c r="R124" s="27"/>
    </row>
    <row r="125" spans="1:18">
      <c r="A125" s="28"/>
      <c r="B125" s="29"/>
      <c r="C125" s="29"/>
      <c r="D125" s="29"/>
      <c r="E125" s="29"/>
      <c r="H125" s="27"/>
      <c r="K125"/>
      <c r="P125" s="27"/>
      <c r="Q125" s="27"/>
      <c r="R125" s="27"/>
    </row>
    <row r="126" spans="1:18">
      <c r="A126" s="28"/>
      <c r="B126" s="29"/>
      <c r="C126" s="29"/>
      <c r="D126" s="29"/>
      <c r="E126" s="29"/>
      <c r="H126" s="27"/>
      <c r="K126"/>
      <c r="P126" s="27"/>
      <c r="Q126" s="27"/>
      <c r="R126" s="27"/>
    </row>
    <row r="127" spans="1:18">
      <c r="A127" s="28"/>
      <c r="B127" s="29"/>
      <c r="C127" s="29"/>
      <c r="D127" s="29"/>
      <c r="E127" s="29"/>
      <c r="H127" s="27"/>
      <c r="K127"/>
      <c r="P127" s="27"/>
      <c r="Q127" s="27"/>
      <c r="R127" s="27"/>
    </row>
    <row r="128" spans="1:18">
      <c r="A128" s="28"/>
      <c r="B128" s="29"/>
      <c r="C128" s="29"/>
      <c r="D128" s="29"/>
      <c r="E128" s="29"/>
      <c r="H128" s="27"/>
      <c r="K128"/>
      <c r="P128" s="27"/>
      <c r="Q128" s="27"/>
      <c r="R128" s="27"/>
    </row>
    <row r="129" spans="1:18">
      <c r="A129" s="28"/>
      <c r="B129" s="29"/>
      <c r="C129" s="29"/>
      <c r="D129" s="29"/>
      <c r="E129" s="29"/>
      <c r="H129" s="27"/>
      <c r="K129"/>
      <c r="P129" s="27"/>
      <c r="Q129" s="27"/>
      <c r="R129" s="27"/>
    </row>
    <row r="130" spans="1:18">
      <c r="A130" s="28"/>
      <c r="B130" s="29"/>
      <c r="C130" s="29"/>
      <c r="D130" s="29"/>
      <c r="E130" s="29"/>
      <c r="H130" s="27"/>
      <c r="K130"/>
      <c r="P130" s="27"/>
      <c r="Q130" s="27"/>
      <c r="R130" s="27"/>
    </row>
    <row r="131" spans="1:18">
      <c r="A131" s="28"/>
      <c r="B131" s="29"/>
      <c r="C131" s="29"/>
      <c r="D131" s="29"/>
      <c r="E131" s="29"/>
      <c r="H131" s="27"/>
      <c r="K131"/>
      <c r="P131" s="27"/>
      <c r="Q131" s="27"/>
      <c r="R131" s="27"/>
    </row>
    <row r="132" spans="1:18">
      <c r="A132" s="28"/>
      <c r="B132" s="29"/>
      <c r="C132" s="29"/>
      <c r="D132" s="29"/>
      <c r="E132" s="29"/>
      <c r="H132" s="27"/>
      <c r="K132"/>
      <c r="P132" s="27"/>
      <c r="Q132" s="27"/>
      <c r="R132" s="27"/>
    </row>
    <row r="133" spans="1:18">
      <c r="A133" s="28"/>
      <c r="B133" s="29"/>
      <c r="C133" s="29"/>
      <c r="D133" s="29"/>
      <c r="E133" s="29"/>
      <c r="H133" s="27"/>
      <c r="K133"/>
      <c r="P133" s="27"/>
      <c r="Q133" s="27"/>
      <c r="R133" s="27"/>
    </row>
    <row r="134" spans="1:18">
      <c r="A134" s="28"/>
      <c r="B134" s="29"/>
      <c r="C134" s="29"/>
      <c r="D134" s="29"/>
      <c r="E134" s="29"/>
      <c r="H134" s="27"/>
      <c r="K134"/>
      <c r="P134" s="27"/>
      <c r="Q134" s="27"/>
      <c r="R134" s="27"/>
    </row>
    <row r="135" spans="1:18">
      <c r="A135" s="28"/>
      <c r="B135" s="29"/>
      <c r="C135" s="29"/>
      <c r="D135" s="29"/>
      <c r="E135" s="29"/>
      <c r="H135" s="27"/>
      <c r="K135"/>
      <c r="P135" s="27"/>
      <c r="Q135" s="27"/>
      <c r="R135" s="27"/>
    </row>
    <row r="136" spans="1:18">
      <c r="A136" s="28"/>
      <c r="B136" s="29"/>
      <c r="C136" s="29"/>
      <c r="D136" s="29"/>
      <c r="E136" s="29"/>
      <c r="H136" s="27"/>
      <c r="K136"/>
      <c r="P136" s="27"/>
      <c r="Q136" s="27"/>
      <c r="R136" s="27"/>
    </row>
    <row r="137" spans="1:18">
      <c r="A137" s="28"/>
      <c r="B137" s="29"/>
      <c r="C137" s="29"/>
      <c r="D137" s="29"/>
      <c r="E137" s="29"/>
      <c r="H137" s="27"/>
      <c r="K137"/>
      <c r="P137" s="27"/>
      <c r="Q137" s="27"/>
      <c r="R137" s="27"/>
    </row>
    <row r="138" spans="1:18">
      <c r="A138" s="28"/>
      <c r="B138" s="29"/>
      <c r="C138" s="29"/>
      <c r="D138" s="29"/>
      <c r="E138" s="29"/>
      <c r="H138" s="27"/>
      <c r="K138"/>
      <c r="P138" s="27"/>
      <c r="Q138" s="27"/>
      <c r="R138" s="27"/>
    </row>
    <row r="139" spans="1:18">
      <c r="A139" s="28"/>
      <c r="B139" s="29"/>
      <c r="C139" s="29"/>
      <c r="D139" s="29"/>
      <c r="E139" s="29"/>
      <c r="H139" s="27"/>
      <c r="K139"/>
      <c r="P139" s="27"/>
      <c r="Q139" s="27"/>
      <c r="R139" s="27"/>
    </row>
    <row r="140" spans="1:18">
      <c r="A140" s="28"/>
      <c r="B140" s="29"/>
      <c r="C140" s="29"/>
      <c r="D140" s="29"/>
      <c r="E140" s="29"/>
      <c r="H140" s="27"/>
      <c r="K140"/>
      <c r="P140" s="27"/>
      <c r="Q140" s="27"/>
      <c r="R140" s="27"/>
    </row>
    <row r="141" spans="1:18">
      <c r="A141" s="28"/>
      <c r="B141" s="29"/>
      <c r="C141" s="29"/>
      <c r="D141" s="29"/>
      <c r="E141" s="29"/>
      <c r="H141" s="27"/>
      <c r="K141"/>
      <c r="P141" s="27"/>
      <c r="Q141" s="27"/>
      <c r="R141" s="27"/>
    </row>
    <row r="142" spans="1:18">
      <c r="A142" s="28"/>
      <c r="B142" s="29"/>
      <c r="C142" s="29"/>
      <c r="D142" s="29"/>
      <c r="E142" s="29"/>
      <c r="H142" s="27"/>
      <c r="K142"/>
      <c r="P142" s="27"/>
      <c r="Q142" s="27"/>
      <c r="R142" s="27"/>
    </row>
    <row r="143" spans="1:18">
      <c r="A143" s="28"/>
      <c r="B143" s="29"/>
      <c r="C143" s="29"/>
      <c r="D143" s="29"/>
      <c r="E143" s="29"/>
      <c r="H143" s="27"/>
      <c r="K143"/>
      <c r="P143" s="27"/>
      <c r="Q143" s="27"/>
      <c r="R143" s="27"/>
    </row>
    <row r="144" spans="1:18">
      <c r="A144" s="28"/>
      <c r="B144" s="29"/>
      <c r="C144" s="29"/>
      <c r="D144" s="29"/>
      <c r="E144" s="29"/>
      <c r="H144" s="27"/>
      <c r="K144"/>
      <c r="P144" s="27"/>
      <c r="Q144" s="27"/>
      <c r="R144" s="27"/>
    </row>
    <row r="145" spans="1:18">
      <c r="A145" s="28"/>
      <c r="B145" s="29"/>
      <c r="C145" s="29"/>
      <c r="D145" s="29"/>
      <c r="E145" s="29"/>
      <c r="H145" s="27"/>
      <c r="K145"/>
      <c r="P145" s="27"/>
      <c r="Q145" s="27"/>
      <c r="R145" s="27"/>
    </row>
    <row r="146" spans="1:18">
      <c r="A146" s="28"/>
      <c r="B146" s="29"/>
      <c r="C146" s="29"/>
      <c r="D146" s="29"/>
      <c r="E146" s="29"/>
      <c r="H146" s="27"/>
      <c r="K146"/>
      <c r="P146" s="27"/>
      <c r="Q146" s="27"/>
      <c r="R146" s="27"/>
    </row>
    <row r="147" spans="1:18">
      <c r="A147" s="28"/>
      <c r="B147" s="29"/>
      <c r="C147" s="29"/>
      <c r="D147" s="29"/>
      <c r="E147" s="29"/>
      <c r="H147" s="27"/>
      <c r="K147"/>
      <c r="P147" s="27"/>
      <c r="Q147" s="27"/>
      <c r="R147" s="27"/>
    </row>
    <row r="148" spans="1:18">
      <c r="A148" s="28"/>
      <c r="B148" s="29"/>
      <c r="C148" s="29"/>
      <c r="D148" s="29"/>
      <c r="E148" s="29"/>
      <c r="H148" s="27"/>
      <c r="K148"/>
      <c r="P148" s="27"/>
      <c r="Q148" s="27"/>
      <c r="R148" s="27"/>
    </row>
    <row r="149" spans="1:18">
      <c r="A149" s="28"/>
      <c r="B149" s="29"/>
      <c r="C149" s="29"/>
      <c r="D149" s="29"/>
      <c r="E149" s="29"/>
      <c r="H149" s="27"/>
      <c r="K149"/>
      <c r="P149" s="27"/>
      <c r="Q149" s="27"/>
      <c r="R149" s="27"/>
    </row>
    <row r="150" spans="1:18">
      <c r="A150" s="28"/>
      <c r="B150" s="29"/>
      <c r="C150" s="29"/>
      <c r="D150" s="29"/>
      <c r="E150" s="29"/>
      <c r="H150" s="27"/>
      <c r="K150"/>
      <c r="P150" s="27"/>
      <c r="Q150" s="27"/>
      <c r="R150" s="27"/>
    </row>
    <row r="151" spans="1:18">
      <c r="A151" s="28"/>
      <c r="B151" s="29"/>
      <c r="C151" s="29"/>
      <c r="D151" s="29"/>
      <c r="E151" s="29"/>
      <c r="H151" s="27"/>
      <c r="K151"/>
      <c r="P151" s="27"/>
      <c r="Q151" s="27"/>
      <c r="R151" s="27"/>
    </row>
    <row r="152" spans="1:18">
      <c r="A152" s="28"/>
      <c r="B152" s="29"/>
      <c r="C152" s="29"/>
      <c r="D152" s="29"/>
      <c r="E152" s="29"/>
      <c r="H152" s="27"/>
      <c r="K152"/>
      <c r="P152" s="27"/>
      <c r="Q152" s="27"/>
      <c r="R152" s="27"/>
    </row>
    <row r="153" spans="1:18">
      <c r="A153" s="28"/>
      <c r="B153" s="29"/>
      <c r="C153" s="29"/>
      <c r="D153" s="29"/>
      <c r="E153" s="29"/>
      <c r="H153" s="27"/>
      <c r="K153"/>
      <c r="P153" s="27"/>
      <c r="Q153" s="27"/>
      <c r="R153" s="27"/>
    </row>
    <row r="154" spans="1:18">
      <c r="A154" s="28"/>
      <c r="B154" s="29"/>
      <c r="C154" s="29"/>
      <c r="D154" s="29"/>
      <c r="E154" s="29"/>
      <c r="H154" s="27"/>
      <c r="K154"/>
      <c r="P154" s="27"/>
      <c r="Q154" s="27"/>
      <c r="R154" s="27"/>
    </row>
    <row r="155" spans="1:18">
      <c r="A155" s="28"/>
      <c r="B155" s="29"/>
      <c r="C155" s="29"/>
      <c r="D155" s="29"/>
      <c r="E155" s="29"/>
      <c r="H155" s="27"/>
      <c r="K155"/>
      <c r="P155" s="27"/>
      <c r="Q155" s="27"/>
      <c r="R155" s="27"/>
    </row>
    <row r="156" spans="1:18">
      <c r="A156" s="28"/>
      <c r="B156" s="29"/>
      <c r="C156" s="29"/>
      <c r="D156" s="29"/>
      <c r="E156" s="29"/>
      <c r="H156" s="27"/>
      <c r="K156"/>
      <c r="P156" s="27"/>
      <c r="Q156" s="27"/>
      <c r="R156" s="27"/>
    </row>
    <row r="157" spans="1:18">
      <c r="A157" s="28"/>
      <c r="B157" s="29"/>
      <c r="C157" s="29"/>
      <c r="D157" s="29"/>
      <c r="E157" s="29"/>
      <c r="H157" s="27"/>
      <c r="K157"/>
      <c r="P157" s="27"/>
      <c r="Q157" s="27"/>
      <c r="R157" s="27"/>
    </row>
    <row r="158" spans="1:18">
      <c r="A158" s="28"/>
      <c r="B158" s="29"/>
      <c r="C158" s="29"/>
      <c r="D158" s="29"/>
      <c r="E158" s="29"/>
      <c r="H158" s="27"/>
      <c r="K158"/>
      <c r="P158" s="27"/>
      <c r="Q158" s="27"/>
      <c r="R158" s="27"/>
    </row>
    <row r="159" spans="1:18">
      <c r="A159" s="28"/>
      <c r="B159" s="29"/>
      <c r="C159" s="29"/>
      <c r="D159" s="29"/>
      <c r="E159" s="29"/>
      <c r="H159" s="27"/>
      <c r="K159"/>
      <c r="P159" s="27"/>
      <c r="Q159" s="27"/>
      <c r="R159" s="27"/>
    </row>
    <row r="160" spans="1:18">
      <c r="A160" s="28"/>
      <c r="B160" s="29"/>
      <c r="C160" s="29"/>
      <c r="D160" s="29"/>
      <c r="E160" s="29"/>
      <c r="H160" s="27"/>
      <c r="K160"/>
      <c r="P160" s="27"/>
      <c r="Q160" s="27"/>
      <c r="R160" s="27"/>
    </row>
    <row r="161" spans="1:18">
      <c r="A161" s="28"/>
      <c r="B161" s="29"/>
      <c r="C161" s="29"/>
      <c r="D161" s="29"/>
      <c r="E161" s="29"/>
      <c r="H161" s="27"/>
      <c r="K161"/>
      <c r="P161" s="27"/>
      <c r="Q161" s="27"/>
      <c r="R161" s="27"/>
    </row>
    <row r="162" spans="1:18">
      <c r="A162" s="28"/>
      <c r="B162" s="29"/>
      <c r="C162" s="29"/>
      <c r="D162" s="29"/>
      <c r="E162" s="29"/>
      <c r="H162" s="27"/>
      <c r="K162"/>
      <c r="P162" s="27"/>
      <c r="Q162" s="27"/>
      <c r="R162" s="27"/>
    </row>
    <row r="163" spans="1:18">
      <c r="A163" s="28"/>
      <c r="B163" s="29"/>
      <c r="C163" s="29"/>
      <c r="D163" s="29"/>
      <c r="E163" s="29"/>
      <c r="H163" s="27"/>
      <c r="K163"/>
      <c r="P163" s="27"/>
      <c r="Q163" s="27"/>
      <c r="R163" s="27"/>
    </row>
    <row r="164" spans="1:18">
      <c r="A164" s="28"/>
      <c r="B164" s="29"/>
      <c r="C164" s="29"/>
      <c r="D164" s="29"/>
      <c r="E164" s="29"/>
      <c r="H164" s="27"/>
      <c r="K164"/>
      <c r="P164" s="27"/>
      <c r="Q164" s="27"/>
      <c r="R164" s="27"/>
    </row>
    <row r="165" spans="1:18">
      <c r="A165" s="28"/>
      <c r="B165" s="29"/>
      <c r="C165" s="29"/>
      <c r="D165" s="29"/>
      <c r="E165" s="29"/>
      <c r="H165" s="27"/>
      <c r="K165"/>
      <c r="P165" s="27"/>
      <c r="Q165" s="27"/>
      <c r="R165" s="27"/>
    </row>
    <row r="166" spans="1:18">
      <c r="A166" s="28"/>
      <c r="B166" s="29"/>
      <c r="C166" s="29"/>
      <c r="D166" s="29"/>
      <c r="E166" s="29"/>
      <c r="H166" s="27"/>
      <c r="K166"/>
      <c r="P166" s="27"/>
      <c r="Q166" s="27"/>
      <c r="R166" s="27"/>
    </row>
    <row r="167" spans="1:18">
      <c r="A167" s="28"/>
      <c r="B167" s="29"/>
      <c r="C167" s="29"/>
      <c r="D167" s="29"/>
      <c r="E167" s="29"/>
      <c r="H167" s="27"/>
      <c r="K167"/>
      <c r="P167" s="27"/>
      <c r="Q167" s="27"/>
      <c r="R167" s="27"/>
    </row>
    <row r="168" spans="1:18">
      <c r="A168" s="28"/>
      <c r="B168" s="29"/>
      <c r="C168" s="29"/>
      <c r="D168" s="29"/>
      <c r="E168" s="29"/>
      <c r="H168" s="27"/>
      <c r="K168"/>
      <c r="P168" s="27"/>
      <c r="Q168" s="27"/>
      <c r="R168" s="27"/>
    </row>
    <row r="169" spans="1:18">
      <c r="A169" s="28"/>
      <c r="B169" s="29"/>
      <c r="C169" s="29"/>
      <c r="D169" s="29"/>
      <c r="E169" s="29"/>
      <c r="H169" s="27"/>
      <c r="K169"/>
      <c r="P169" s="27"/>
      <c r="Q169" s="27"/>
      <c r="R169" s="27"/>
    </row>
    <row r="170" spans="1:18">
      <c r="A170" s="28"/>
      <c r="B170" s="29"/>
      <c r="C170" s="29"/>
      <c r="D170" s="29"/>
      <c r="E170" s="29"/>
      <c r="H170" s="27"/>
      <c r="K170"/>
      <c r="P170" s="27"/>
      <c r="Q170" s="27"/>
      <c r="R170" s="27"/>
    </row>
    <row r="171" spans="1:18">
      <c r="A171" s="28"/>
      <c r="B171" s="29"/>
      <c r="C171" s="29"/>
      <c r="D171" s="29"/>
      <c r="E171" s="29"/>
      <c r="H171" s="27"/>
      <c r="K171"/>
      <c r="P171" s="27"/>
      <c r="Q171" s="27"/>
      <c r="R171" s="27"/>
    </row>
    <row r="172" spans="1:18">
      <c r="A172" s="28"/>
      <c r="B172" s="29"/>
      <c r="C172" s="29"/>
      <c r="D172" s="29"/>
      <c r="E172" s="29"/>
      <c r="H172" s="27"/>
      <c r="K172"/>
      <c r="P172" s="27"/>
      <c r="Q172" s="27"/>
      <c r="R172" s="27"/>
    </row>
    <row r="173" spans="1:18">
      <c r="A173" s="28"/>
      <c r="B173" s="29"/>
      <c r="C173" s="29"/>
      <c r="D173" s="29"/>
      <c r="E173" s="29"/>
      <c r="H173" s="27"/>
      <c r="K173"/>
      <c r="P173" s="27"/>
      <c r="Q173" s="27"/>
      <c r="R173" s="27"/>
    </row>
    <row r="174" spans="1:18">
      <c r="A174" s="28"/>
      <c r="B174" s="29"/>
      <c r="C174" s="29"/>
      <c r="D174" s="29"/>
      <c r="E174" s="29"/>
      <c r="H174" s="27"/>
      <c r="K174"/>
      <c r="P174" s="27"/>
      <c r="Q174" s="27"/>
      <c r="R174" s="27"/>
    </row>
    <row r="175" spans="1:18">
      <c r="A175" s="28"/>
      <c r="B175" s="29"/>
      <c r="C175" s="29"/>
      <c r="D175" s="29"/>
      <c r="E175" s="29"/>
      <c r="H175" s="27"/>
      <c r="K175"/>
      <c r="P175" s="27"/>
      <c r="Q175" s="27"/>
      <c r="R175" s="27"/>
    </row>
    <row r="176" spans="1:18">
      <c r="A176" s="28"/>
      <c r="B176" s="29"/>
      <c r="C176" s="29"/>
      <c r="D176" s="29"/>
      <c r="E176" s="29"/>
      <c r="H176" s="27"/>
      <c r="K176"/>
      <c r="P176" s="27"/>
      <c r="Q176" s="27"/>
      <c r="R176" s="27"/>
    </row>
    <row r="177" spans="1:18">
      <c r="A177" s="28"/>
      <c r="B177" s="29"/>
      <c r="C177" s="29"/>
      <c r="D177" s="29"/>
      <c r="E177" s="29"/>
      <c r="H177" s="27"/>
      <c r="K177"/>
      <c r="P177" s="27"/>
      <c r="Q177" s="27"/>
      <c r="R177" s="27"/>
    </row>
    <row r="178" spans="1:18">
      <c r="A178" s="28"/>
      <c r="B178" s="29"/>
      <c r="C178" s="29"/>
      <c r="D178" s="29"/>
      <c r="E178" s="29"/>
      <c r="H178" s="27"/>
      <c r="K178"/>
      <c r="P178" s="27"/>
      <c r="Q178" s="27"/>
      <c r="R178" s="27"/>
    </row>
    <row r="179" spans="1:18">
      <c r="A179" s="28"/>
      <c r="B179" s="29"/>
      <c r="C179" s="29"/>
      <c r="D179" s="29"/>
      <c r="E179" s="29"/>
      <c r="H179" s="27"/>
      <c r="K179"/>
      <c r="P179" s="27"/>
      <c r="Q179" s="27"/>
      <c r="R179" s="27"/>
    </row>
    <row r="180" spans="1:18">
      <c r="A180" s="28"/>
      <c r="B180" s="29"/>
      <c r="C180" s="29"/>
      <c r="D180" s="29"/>
      <c r="E180" s="29"/>
      <c r="H180" s="27"/>
      <c r="K180"/>
      <c r="P180" s="27"/>
      <c r="Q180" s="27"/>
      <c r="R180" s="27"/>
    </row>
    <row r="181" spans="1:18">
      <c r="A181" s="28"/>
      <c r="B181" s="29"/>
      <c r="C181" s="29"/>
      <c r="D181" s="29"/>
      <c r="E181" s="29"/>
      <c r="H181" s="27"/>
      <c r="K181"/>
      <c r="P181" s="27"/>
      <c r="Q181" s="27"/>
      <c r="R181" s="27"/>
    </row>
    <row r="182" spans="1:18">
      <c r="A182" s="28"/>
      <c r="B182" s="29"/>
      <c r="C182" s="29"/>
      <c r="D182" s="29"/>
      <c r="E182" s="29"/>
      <c r="H182" s="27"/>
      <c r="K182"/>
      <c r="P182" s="27"/>
      <c r="Q182" s="27"/>
      <c r="R182" s="27"/>
    </row>
    <row r="183" spans="1:18">
      <c r="A183" s="28"/>
      <c r="B183" s="29"/>
      <c r="C183" s="29"/>
      <c r="D183" s="29"/>
      <c r="E183" s="29"/>
      <c r="H183" s="27"/>
      <c r="K183"/>
      <c r="P183" s="27"/>
      <c r="Q183" s="27"/>
      <c r="R183" s="27"/>
    </row>
    <row r="184" spans="1:18">
      <c r="A184" s="28"/>
      <c r="B184" s="29"/>
      <c r="C184" s="29"/>
      <c r="D184" s="29"/>
      <c r="E184" s="29"/>
      <c r="H184" s="27"/>
      <c r="K184"/>
      <c r="P184" s="27"/>
      <c r="Q184" s="27"/>
      <c r="R184" s="27"/>
    </row>
    <row r="185" spans="1:18">
      <c r="A185" s="28"/>
      <c r="B185" s="29"/>
      <c r="C185" s="29"/>
      <c r="D185" s="29"/>
      <c r="E185" s="29"/>
      <c r="H185" s="27"/>
      <c r="K185"/>
      <c r="P185" s="27"/>
      <c r="Q185" s="27"/>
      <c r="R185" s="27"/>
    </row>
    <row r="186" spans="1:18">
      <c r="A186" s="28"/>
      <c r="B186" s="29"/>
      <c r="C186" s="29"/>
      <c r="D186" s="29"/>
      <c r="E186" s="29"/>
      <c r="H186" s="27"/>
      <c r="K186"/>
      <c r="P186" s="27"/>
      <c r="Q186" s="27"/>
      <c r="R186" s="27"/>
    </row>
    <row r="187" spans="1:18">
      <c r="A187" s="28"/>
      <c r="B187" s="29"/>
      <c r="C187" s="29"/>
      <c r="D187" s="29"/>
      <c r="E187" s="29"/>
      <c r="H187" s="27"/>
      <c r="K187"/>
      <c r="P187" s="27"/>
      <c r="Q187" s="27"/>
      <c r="R187" s="27"/>
    </row>
    <row r="188" spans="1:18">
      <c r="A188" s="28"/>
      <c r="B188" s="29"/>
      <c r="C188" s="29"/>
      <c r="D188" s="29"/>
      <c r="E188" s="29"/>
      <c r="H188" s="27"/>
      <c r="K188"/>
      <c r="P188" s="27"/>
      <c r="Q188" s="27"/>
      <c r="R188" s="27"/>
    </row>
    <row r="189" spans="1:18">
      <c r="A189" s="28"/>
      <c r="B189" s="29"/>
      <c r="C189" s="29"/>
      <c r="D189" s="29"/>
      <c r="E189" s="29"/>
      <c r="H189" s="27"/>
      <c r="K189"/>
      <c r="P189" s="27"/>
      <c r="Q189" s="27"/>
      <c r="R189" s="27"/>
    </row>
    <row r="190" spans="1:18">
      <c r="A190" s="28"/>
      <c r="B190" s="29"/>
      <c r="C190" s="29"/>
      <c r="D190" s="29"/>
      <c r="E190" s="29"/>
      <c r="H190" s="27"/>
      <c r="K190"/>
      <c r="P190" s="27"/>
      <c r="Q190" s="27"/>
      <c r="R190" s="27"/>
    </row>
    <row r="191" spans="1:18">
      <c r="A191" s="28"/>
      <c r="B191" s="29"/>
      <c r="C191" s="29"/>
      <c r="D191" s="29"/>
      <c r="E191" s="29"/>
      <c r="H191" s="27"/>
      <c r="K191"/>
      <c r="P191" s="27"/>
      <c r="Q191" s="27"/>
      <c r="R191" s="27"/>
    </row>
    <row r="192" spans="1:18">
      <c r="A192" s="28"/>
      <c r="B192" s="29"/>
      <c r="C192" s="29"/>
      <c r="D192" s="29"/>
      <c r="E192" s="29"/>
      <c r="H192" s="27"/>
      <c r="K192"/>
      <c r="P192" s="27"/>
      <c r="Q192" s="27"/>
      <c r="R192" s="27"/>
    </row>
    <row r="193" spans="1:18">
      <c r="A193" s="28"/>
      <c r="B193" s="29"/>
      <c r="C193" s="29"/>
      <c r="D193" s="29"/>
      <c r="E193" s="29"/>
      <c r="H193" s="27"/>
      <c r="K193"/>
      <c r="P193" s="27"/>
      <c r="Q193" s="27"/>
      <c r="R193" s="27"/>
    </row>
    <row r="194" spans="1:18">
      <c r="A194" s="28"/>
      <c r="B194" s="29"/>
      <c r="C194" s="29"/>
      <c r="D194" s="29"/>
      <c r="E194" s="29"/>
      <c r="H194" s="27"/>
      <c r="K194"/>
      <c r="P194" s="27"/>
      <c r="Q194" s="27"/>
      <c r="R194" s="27"/>
    </row>
    <row r="195" spans="1:18">
      <c r="A195" s="28"/>
      <c r="B195" s="29"/>
      <c r="C195" s="29"/>
      <c r="D195" s="29"/>
      <c r="E195" s="29"/>
      <c r="H195" s="27"/>
      <c r="K195"/>
      <c r="P195" s="27"/>
      <c r="Q195" s="27"/>
      <c r="R195" s="27"/>
    </row>
    <row r="196" spans="1:18">
      <c r="A196" s="28"/>
      <c r="B196" s="29"/>
      <c r="C196" s="29"/>
      <c r="D196" s="29"/>
      <c r="E196" s="29"/>
      <c r="H196" s="27"/>
      <c r="K196"/>
      <c r="P196" s="27"/>
      <c r="Q196" s="27"/>
      <c r="R196" s="27"/>
    </row>
    <row r="197" spans="1:18">
      <c r="A197" s="28"/>
      <c r="B197" s="29"/>
      <c r="C197" s="29"/>
      <c r="D197" s="29"/>
      <c r="E197" s="29"/>
      <c r="H197" s="27"/>
      <c r="K197"/>
      <c r="P197" s="27"/>
      <c r="Q197" s="27"/>
      <c r="R197" s="27"/>
    </row>
    <row r="198" spans="1:18">
      <c r="A198" s="28"/>
      <c r="B198" s="29"/>
      <c r="C198" s="29"/>
      <c r="D198" s="29"/>
      <c r="E198" s="29"/>
      <c r="H198" s="27"/>
      <c r="K198"/>
      <c r="P198" s="27"/>
      <c r="Q198" s="27"/>
      <c r="R198" s="27"/>
    </row>
    <row r="199" spans="1:18">
      <c r="A199" s="28"/>
      <c r="B199" s="29"/>
      <c r="C199" s="29"/>
      <c r="D199" s="29"/>
      <c r="E199" s="29"/>
      <c r="H199" s="27"/>
      <c r="K199"/>
      <c r="P199" s="27"/>
      <c r="Q199" s="27"/>
      <c r="R199" s="27"/>
    </row>
    <row r="200" spans="1:18">
      <c r="A200" s="28"/>
      <c r="B200" s="29"/>
      <c r="C200" s="29"/>
      <c r="D200" s="29"/>
      <c r="E200" s="29"/>
      <c r="H200" s="27"/>
      <c r="K200"/>
      <c r="P200" s="27"/>
      <c r="Q200" s="27"/>
      <c r="R200" s="27"/>
    </row>
    <row r="201" spans="1:18">
      <c r="A201" s="28"/>
      <c r="B201" s="29"/>
      <c r="C201" s="29"/>
      <c r="D201" s="29"/>
      <c r="E201" s="29"/>
      <c r="H201" s="27"/>
      <c r="K201"/>
      <c r="P201" s="27"/>
      <c r="Q201" s="27"/>
      <c r="R201" s="27"/>
    </row>
    <row r="202" spans="1:18">
      <c r="A202" s="28"/>
      <c r="B202" s="29"/>
      <c r="C202" s="29"/>
      <c r="D202" s="29"/>
      <c r="E202" s="29"/>
      <c r="H202" s="27"/>
      <c r="K202"/>
      <c r="P202" s="27"/>
      <c r="Q202" s="27"/>
      <c r="R202" s="27"/>
    </row>
    <row r="203" spans="1:18">
      <c r="A203" s="28"/>
      <c r="B203" s="29"/>
      <c r="C203" s="29"/>
      <c r="D203" s="29"/>
      <c r="E203" s="29"/>
      <c r="H203" s="27"/>
      <c r="K203"/>
      <c r="P203" s="27"/>
      <c r="Q203" s="27"/>
      <c r="R203" s="27"/>
    </row>
    <row r="204" spans="1:18">
      <c r="A204" s="28"/>
      <c r="B204" s="29"/>
      <c r="C204" s="29"/>
      <c r="D204" s="29"/>
      <c r="E204" s="29"/>
      <c r="H204" s="27"/>
      <c r="K204"/>
      <c r="P204" s="27"/>
      <c r="Q204" s="27"/>
      <c r="R204" s="27"/>
    </row>
    <row r="205" spans="1:18">
      <c r="A205" s="28"/>
      <c r="B205" s="29"/>
      <c r="C205" s="29"/>
      <c r="D205" s="29"/>
      <c r="E205" s="29"/>
      <c r="H205" s="27"/>
      <c r="K205"/>
      <c r="P205" s="27"/>
      <c r="Q205" s="27"/>
      <c r="R205" s="27"/>
    </row>
    <row r="206" spans="1:18">
      <c r="A206" s="28"/>
      <c r="B206" s="29"/>
      <c r="C206" s="29"/>
      <c r="D206" s="29"/>
      <c r="E206" s="29"/>
      <c r="H206" s="27"/>
      <c r="K206"/>
      <c r="P206" s="27"/>
      <c r="Q206" s="27"/>
      <c r="R206" s="27"/>
    </row>
    <row r="207" spans="1:18">
      <c r="A207" s="28"/>
      <c r="B207" s="29"/>
      <c r="C207" s="29"/>
      <c r="D207" s="29"/>
      <c r="E207" s="29"/>
      <c r="H207" s="27"/>
      <c r="K207"/>
      <c r="P207" s="27"/>
      <c r="Q207" s="27"/>
      <c r="R207" s="27"/>
    </row>
    <row r="208" spans="1:18">
      <c r="A208" s="28"/>
      <c r="B208" s="29"/>
      <c r="C208" s="29"/>
      <c r="D208" s="29"/>
      <c r="E208" s="29"/>
      <c r="H208" s="27"/>
      <c r="K208"/>
      <c r="P208" s="27"/>
      <c r="Q208" s="27"/>
      <c r="R208" s="27"/>
    </row>
    <row r="209" spans="1:18">
      <c r="A209" s="28"/>
      <c r="B209" s="29"/>
      <c r="C209" s="29"/>
      <c r="D209" s="29"/>
      <c r="E209" s="29"/>
      <c r="H209" s="27"/>
      <c r="K209"/>
      <c r="P209" s="27"/>
      <c r="Q209" s="27"/>
      <c r="R209" s="27"/>
    </row>
    <row r="210" spans="1:18">
      <c r="A210" s="28"/>
      <c r="B210" s="29"/>
      <c r="C210" s="29"/>
      <c r="D210" s="29"/>
      <c r="E210" s="29"/>
      <c r="H210" s="27"/>
      <c r="K210"/>
      <c r="P210" s="27"/>
      <c r="Q210" s="27"/>
      <c r="R210" s="27"/>
    </row>
    <row r="211" spans="1:18">
      <c r="A211" s="28"/>
      <c r="B211" s="29"/>
      <c r="C211" s="29"/>
      <c r="D211" s="29"/>
      <c r="E211" s="29"/>
      <c r="H211" s="27"/>
      <c r="K211"/>
      <c r="P211" s="27"/>
      <c r="Q211" s="27"/>
      <c r="R211" s="27"/>
    </row>
    <row r="212" spans="1:18">
      <c r="A212" s="28"/>
      <c r="B212" s="29"/>
      <c r="C212" s="29"/>
      <c r="D212" s="29"/>
      <c r="E212" s="29"/>
      <c r="H212" s="27"/>
      <c r="K212"/>
      <c r="P212" s="27"/>
      <c r="Q212" s="27"/>
      <c r="R212" s="27"/>
    </row>
    <row r="213" spans="1:18">
      <c r="A213" s="28"/>
      <c r="B213" s="29"/>
      <c r="C213" s="29"/>
      <c r="D213" s="29"/>
      <c r="E213" s="29"/>
      <c r="H213" s="27"/>
      <c r="K213"/>
      <c r="P213" s="27"/>
      <c r="Q213" s="27"/>
      <c r="R213" s="27"/>
    </row>
    <row r="214" spans="1:18">
      <c r="A214" s="28"/>
      <c r="B214" s="29"/>
      <c r="C214" s="29"/>
      <c r="D214" s="29"/>
      <c r="E214" s="29"/>
      <c r="H214" s="27"/>
      <c r="K214"/>
      <c r="P214" s="27"/>
      <c r="Q214" s="27"/>
      <c r="R214" s="27"/>
    </row>
    <row r="215" spans="1:18">
      <c r="A215" s="28"/>
      <c r="B215" s="29"/>
      <c r="C215" s="29"/>
      <c r="D215" s="29"/>
      <c r="E215" s="29"/>
      <c r="H215" s="27"/>
      <c r="K215"/>
      <c r="P215" s="27"/>
      <c r="Q215" s="27"/>
      <c r="R215" s="27"/>
    </row>
    <row r="216" spans="1:18">
      <c r="A216" s="28"/>
      <c r="B216" s="29"/>
      <c r="C216" s="29"/>
      <c r="D216" s="29"/>
      <c r="E216" s="29"/>
      <c r="H216" s="27"/>
      <c r="K216"/>
      <c r="P216" s="27"/>
      <c r="Q216" s="27"/>
      <c r="R216" s="27"/>
    </row>
    <row r="217" spans="1:18">
      <c r="A217" s="28"/>
      <c r="B217" s="29"/>
      <c r="C217" s="29"/>
      <c r="D217" s="29"/>
      <c r="E217" s="29"/>
      <c r="H217" s="27"/>
      <c r="K217"/>
      <c r="P217" s="27"/>
      <c r="Q217" s="27"/>
      <c r="R217" s="27"/>
    </row>
    <row r="218" spans="1:18">
      <c r="A218" s="28"/>
      <c r="B218" s="29"/>
      <c r="C218" s="29"/>
      <c r="D218" s="29"/>
      <c r="E218" s="29"/>
      <c r="H218" s="27"/>
      <c r="K218"/>
      <c r="P218" s="27"/>
      <c r="Q218" s="27"/>
      <c r="R218" s="27"/>
    </row>
    <row r="219" spans="1:18">
      <c r="A219" s="28"/>
      <c r="B219" s="29"/>
      <c r="C219" s="29"/>
      <c r="D219" s="29"/>
      <c r="E219" s="29"/>
      <c r="H219" s="27"/>
      <c r="K219"/>
      <c r="P219" s="27"/>
      <c r="Q219" s="27"/>
      <c r="R219" s="27"/>
    </row>
    <row r="220" spans="1:18">
      <c r="A220" s="28"/>
      <c r="B220" s="29"/>
      <c r="C220" s="29"/>
      <c r="D220" s="29"/>
      <c r="E220" s="29"/>
      <c r="H220" s="27"/>
      <c r="K220"/>
      <c r="P220" s="27"/>
      <c r="Q220" s="27"/>
      <c r="R220" s="27"/>
    </row>
    <row r="221" spans="1:18">
      <c r="A221" s="28"/>
      <c r="B221" s="29"/>
      <c r="C221" s="29"/>
      <c r="D221" s="29"/>
      <c r="E221" s="29"/>
      <c r="H221" s="27"/>
      <c r="K221"/>
      <c r="P221" s="27"/>
      <c r="Q221" s="27"/>
      <c r="R221" s="27"/>
    </row>
    <row r="222" spans="1:18">
      <c r="A222" s="28"/>
      <c r="B222" s="29"/>
      <c r="C222" s="29"/>
      <c r="D222" s="29"/>
      <c r="E222" s="29"/>
      <c r="H222" s="27"/>
      <c r="K222"/>
      <c r="P222" s="27"/>
      <c r="Q222" s="27"/>
      <c r="R222" s="27"/>
    </row>
    <row r="223" spans="1:18">
      <c r="A223" s="28"/>
      <c r="B223" s="29"/>
      <c r="C223" s="29"/>
      <c r="D223" s="29"/>
      <c r="E223" s="29"/>
      <c r="H223" s="27"/>
      <c r="K223"/>
      <c r="P223" s="27"/>
      <c r="Q223" s="27"/>
      <c r="R223" s="27"/>
    </row>
    <row r="224" spans="1:18">
      <c r="A224" s="28"/>
      <c r="B224" s="29"/>
      <c r="C224" s="29"/>
      <c r="D224" s="29"/>
      <c r="E224" s="29"/>
      <c r="H224" s="27"/>
      <c r="K224"/>
      <c r="P224" s="27"/>
      <c r="Q224" s="27"/>
      <c r="R224" s="27"/>
    </row>
    <row r="225" spans="1:18">
      <c r="A225" s="28"/>
      <c r="B225" s="29"/>
      <c r="C225" s="29"/>
      <c r="D225" s="29"/>
      <c r="E225" s="29"/>
      <c r="H225" s="27"/>
      <c r="K225"/>
      <c r="P225" s="27"/>
      <c r="Q225" s="27"/>
      <c r="R225" s="27"/>
    </row>
    <row r="226" spans="1:18">
      <c r="A226" s="28"/>
      <c r="B226" s="29"/>
      <c r="C226" s="29"/>
      <c r="D226" s="29"/>
      <c r="E226" s="29"/>
      <c r="H226" s="27"/>
      <c r="K226"/>
      <c r="P226" s="27"/>
      <c r="Q226" s="27"/>
      <c r="R226" s="27"/>
    </row>
    <row r="227" spans="1:18">
      <c r="A227" s="28"/>
      <c r="B227" s="29"/>
      <c r="C227" s="29"/>
      <c r="D227" s="29"/>
      <c r="E227" s="29"/>
      <c r="H227" s="27"/>
      <c r="K227"/>
      <c r="P227" s="27"/>
      <c r="Q227" s="27"/>
      <c r="R227" s="27"/>
    </row>
    <row r="228" spans="1:18">
      <c r="A228" s="28"/>
      <c r="B228" s="29"/>
      <c r="C228" s="29"/>
      <c r="D228" s="29"/>
      <c r="E228" s="29"/>
      <c r="H228" s="27"/>
      <c r="K228"/>
      <c r="P228" s="27"/>
      <c r="Q228" s="27"/>
      <c r="R228" s="27"/>
    </row>
    <row r="229" spans="1:18">
      <c r="A229" s="28"/>
      <c r="B229" s="29"/>
      <c r="C229" s="29"/>
      <c r="D229" s="29"/>
      <c r="E229" s="29"/>
      <c r="H229" s="27"/>
      <c r="K229"/>
      <c r="P229" s="27"/>
      <c r="Q229" s="27"/>
      <c r="R229" s="27"/>
    </row>
    <row r="230" spans="1:18">
      <c r="A230" s="28"/>
      <c r="B230" s="29"/>
      <c r="C230" s="29"/>
      <c r="D230" s="29"/>
      <c r="E230" s="29"/>
      <c r="H230" s="27"/>
      <c r="K230"/>
      <c r="P230" s="27"/>
      <c r="Q230" s="27"/>
      <c r="R230" s="27"/>
    </row>
    <row r="231" spans="1:18">
      <c r="A231" s="28"/>
      <c r="B231" s="29"/>
      <c r="C231" s="29"/>
      <c r="D231" s="29"/>
      <c r="E231" s="29"/>
      <c r="H231" s="27"/>
      <c r="K231"/>
      <c r="P231" s="27"/>
      <c r="Q231" s="27"/>
      <c r="R231" s="27"/>
    </row>
    <row r="232" spans="1:18">
      <c r="A232" s="28"/>
      <c r="B232" s="29"/>
      <c r="C232" s="29"/>
      <c r="D232" s="29"/>
      <c r="E232" s="29"/>
      <c r="H232" s="27"/>
      <c r="K232"/>
      <c r="P232" s="27"/>
      <c r="Q232" s="27"/>
      <c r="R232" s="27"/>
    </row>
    <row r="233" spans="1:18">
      <c r="A233" s="28"/>
      <c r="B233" s="29"/>
      <c r="C233" s="29"/>
      <c r="D233" s="29"/>
      <c r="E233" s="29"/>
      <c r="H233" s="27"/>
      <c r="K233"/>
      <c r="P233" s="27"/>
      <c r="Q233" s="27"/>
      <c r="R233" s="27"/>
    </row>
    <row r="234" spans="1:18">
      <c r="A234" s="28"/>
      <c r="B234" s="29"/>
      <c r="C234" s="29"/>
      <c r="D234" s="29"/>
      <c r="E234" s="29"/>
      <c r="H234" s="27"/>
      <c r="K234"/>
      <c r="P234" s="27"/>
      <c r="Q234" s="27"/>
      <c r="R234" s="27"/>
    </row>
    <row r="235" spans="1:18">
      <c r="A235" s="28"/>
      <c r="B235" s="29"/>
      <c r="C235" s="29"/>
      <c r="D235" s="29"/>
      <c r="E235" s="29"/>
      <c r="H235" s="27"/>
      <c r="K235"/>
      <c r="P235" s="27"/>
      <c r="Q235" s="27"/>
      <c r="R235" s="27"/>
    </row>
    <row r="236" spans="1:18">
      <c r="A236" s="28"/>
      <c r="B236" s="29"/>
      <c r="C236" s="29"/>
      <c r="D236" s="29"/>
      <c r="E236" s="29"/>
      <c r="H236" s="27"/>
      <c r="K236"/>
      <c r="P236" s="27"/>
      <c r="Q236" s="27"/>
      <c r="R236" s="27"/>
    </row>
    <row r="237" spans="1:18">
      <c r="A237" s="28"/>
      <c r="B237" s="29"/>
      <c r="C237" s="29"/>
      <c r="D237" s="29"/>
      <c r="E237" s="29"/>
      <c r="H237" s="27"/>
      <c r="K237"/>
      <c r="P237" s="27"/>
      <c r="Q237" s="27"/>
      <c r="R237" s="27"/>
    </row>
    <row r="238" spans="1:18">
      <c r="A238" s="28"/>
      <c r="B238" s="29"/>
      <c r="C238" s="29"/>
      <c r="D238" s="29"/>
      <c r="E238" s="29"/>
      <c r="H238" s="27"/>
      <c r="K238"/>
      <c r="P238" s="27"/>
      <c r="Q238" s="27"/>
      <c r="R238" s="27"/>
    </row>
    <row r="239" spans="1:18">
      <c r="A239" s="28"/>
      <c r="B239" s="29"/>
      <c r="C239" s="29"/>
      <c r="D239" s="29"/>
      <c r="E239" s="29"/>
      <c r="H239" s="27"/>
      <c r="K239"/>
      <c r="P239" s="27"/>
      <c r="Q239" s="27"/>
      <c r="R239" s="27"/>
    </row>
    <row r="240" spans="1:18">
      <c r="A240" s="28"/>
      <c r="B240" s="29"/>
      <c r="C240" s="29"/>
      <c r="D240" s="29"/>
      <c r="E240" s="29"/>
      <c r="H240" s="27"/>
      <c r="K240"/>
      <c r="P240" s="27"/>
      <c r="Q240" s="27"/>
      <c r="R240" s="27"/>
    </row>
    <row r="241" spans="1:18">
      <c r="A241" s="28"/>
      <c r="B241" s="29"/>
      <c r="C241" s="29"/>
      <c r="D241" s="29"/>
      <c r="E241" s="29"/>
      <c r="H241" s="27"/>
      <c r="K241"/>
      <c r="P241" s="27"/>
      <c r="Q241" s="27"/>
      <c r="R241" s="27"/>
    </row>
    <row r="242" spans="1:18">
      <c r="A242" s="28"/>
      <c r="B242" s="29"/>
      <c r="C242" s="29"/>
      <c r="D242" s="29"/>
      <c r="E242" s="29"/>
      <c r="H242" s="27"/>
      <c r="K242"/>
      <c r="P242" s="27"/>
      <c r="Q242" s="27"/>
      <c r="R242" s="27"/>
    </row>
    <row r="243" spans="1:18">
      <c r="A243" s="28"/>
      <c r="B243" s="29"/>
      <c r="C243" s="29"/>
      <c r="D243" s="29"/>
      <c r="E243" s="29"/>
      <c r="H243" s="27"/>
      <c r="K243"/>
      <c r="P243" s="27"/>
      <c r="Q243" s="27"/>
      <c r="R243" s="27"/>
    </row>
    <row r="244" spans="1:18">
      <c r="A244" s="28"/>
      <c r="B244" s="29"/>
      <c r="C244" s="29"/>
      <c r="D244" s="29"/>
      <c r="E244" s="29"/>
      <c r="H244" s="27"/>
      <c r="K244"/>
      <c r="P244" s="27"/>
      <c r="Q244" s="27"/>
      <c r="R244" s="27"/>
    </row>
    <row r="245" spans="1:18">
      <c r="A245" s="28"/>
      <c r="B245" s="29"/>
      <c r="C245" s="29"/>
      <c r="D245" s="29"/>
      <c r="E245" s="29"/>
      <c r="H245" s="27"/>
      <c r="K245"/>
      <c r="P245" s="27"/>
      <c r="Q245" s="27"/>
      <c r="R245" s="27"/>
    </row>
    <row r="246" spans="1:18">
      <c r="A246" s="28"/>
      <c r="B246" s="29"/>
      <c r="C246" s="29"/>
      <c r="D246" s="29"/>
      <c r="E246" s="29"/>
      <c r="H246" s="27"/>
      <c r="K246"/>
      <c r="P246" s="27"/>
      <c r="Q246" s="27"/>
      <c r="R246" s="27"/>
    </row>
    <row r="247" spans="1:18">
      <c r="A247" s="28"/>
      <c r="B247" s="29"/>
      <c r="C247" s="29"/>
      <c r="D247" s="29"/>
      <c r="E247" s="29"/>
      <c r="H247" s="27"/>
      <c r="K247"/>
      <c r="P247" s="27"/>
      <c r="Q247" s="27"/>
      <c r="R247" s="27"/>
    </row>
    <row r="248" spans="1:18">
      <c r="A248" s="28"/>
      <c r="B248" s="29"/>
      <c r="C248" s="29"/>
      <c r="D248" s="29"/>
      <c r="E248" s="29"/>
      <c r="H248" s="27"/>
      <c r="K248"/>
      <c r="P248" s="27"/>
      <c r="Q248" s="27"/>
      <c r="R248" s="27"/>
    </row>
    <row r="249" spans="1:18">
      <c r="A249" s="28"/>
      <c r="B249" s="29"/>
      <c r="C249" s="29"/>
      <c r="D249" s="29"/>
      <c r="E249" s="29"/>
      <c r="H249" s="27"/>
      <c r="K249"/>
      <c r="P249" s="27"/>
      <c r="Q249" s="27"/>
      <c r="R249" s="27"/>
    </row>
    <row r="250" spans="1:18">
      <c r="A250" s="28"/>
      <c r="B250" s="29"/>
      <c r="C250" s="29"/>
      <c r="D250" s="29"/>
      <c r="E250" s="29"/>
      <c r="H250" s="27"/>
      <c r="K250"/>
      <c r="P250" s="27"/>
      <c r="Q250" s="27"/>
      <c r="R250" s="27"/>
    </row>
    <row r="251" spans="1:18">
      <c r="A251" s="28"/>
      <c r="B251" s="29"/>
      <c r="C251" s="29"/>
      <c r="D251" s="29"/>
      <c r="E251" s="29"/>
      <c r="H251" s="27"/>
      <c r="K251"/>
      <c r="P251" s="27"/>
      <c r="Q251" s="27"/>
      <c r="R251" s="27"/>
    </row>
    <row r="252" spans="1:18">
      <c r="A252" s="28"/>
      <c r="B252" s="29"/>
      <c r="C252" s="29"/>
      <c r="D252" s="29"/>
      <c r="E252" s="29"/>
      <c r="H252" s="27"/>
      <c r="K252"/>
      <c r="P252" s="27"/>
      <c r="Q252" s="27"/>
      <c r="R252" s="27"/>
    </row>
    <row r="253" spans="1:18">
      <c r="A253" s="28"/>
      <c r="B253" s="29"/>
      <c r="C253" s="29"/>
      <c r="D253" s="29"/>
      <c r="E253" s="29"/>
      <c r="H253" s="27"/>
      <c r="K253"/>
      <c r="P253" s="27"/>
      <c r="Q253" s="27"/>
      <c r="R253" s="27"/>
    </row>
    <row r="254" spans="1:18">
      <c r="A254" s="28"/>
      <c r="B254" s="29"/>
      <c r="C254" s="29"/>
      <c r="D254" s="29"/>
      <c r="E254" s="29"/>
      <c r="H254" s="27"/>
      <c r="K254"/>
      <c r="P254" s="27"/>
      <c r="Q254" s="27"/>
      <c r="R254" s="27"/>
    </row>
    <row r="255" spans="1:18">
      <c r="A255" s="28"/>
      <c r="B255" s="29"/>
      <c r="C255" s="29"/>
      <c r="D255" s="29"/>
      <c r="E255" s="29"/>
      <c r="H255" s="27"/>
      <c r="K255"/>
      <c r="P255" s="27"/>
      <c r="Q255" s="27"/>
      <c r="R255" s="27"/>
    </row>
    <row r="256" spans="1:18">
      <c r="A256" s="28"/>
      <c r="B256" s="29"/>
      <c r="C256" s="29"/>
      <c r="D256" s="29"/>
      <c r="E256" s="29"/>
      <c r="H256" s="27"/>
      <c r="K256"/>
      <c r="P256" s="27"/>
      <c r="Q256" s="27"/>
      <c r="R256" s="27"/>
    </row>
    <row r="257" spans="1:18">
      <c r="A257" s="28"/>
      <c r="B257" s="29"/>
      <c r="C257" s="29"/>
      <c r="D257" s="29"/>
      <c r="E257" s="29"/>
      <c r="H257" s="27"/>
      <c r="K257"/>
      <c r="P257" s="27"/>
      <c r="Q257" s="27"/>
      <c r="R257" s="27"/>
    </row>
    <row r="258" spans="1:18">
      <c r="A258" s="28"/>
      <c r="B258" s="29"/>
      <c r="C258" s="29"/>
      <c r="D258" s="29"/>
      <c r="E258" s="29"/>
      <c r="H258" s="27"/>
      <c r="K258"/>
      <c r="P258" s="27"/>
      <c r="Q258" s="27"/>
      <c r="R258" s="27"/>
    </row>
    <row r="259" spans="1:18">
      <c r="A259" s="28"/>
      <c r="B259" s="29"/>
      <c r="C259" s="29"/>
      <c r="D259" s="29"/>
      <c r="E259" s="29"/>
      <c r="H259" s="27"/>
      <c r="K259"/>
      <c r="P259" s="27"/>
      <c r="Q259" s="27"/>
      <c r="R259" s="27"/>
    </row>
    <row r="260" spans="1:18">
      <c r="A260" s="28"/>
      <c r="B260" s="29"/>
      <c r="C260" s="29"/>
      <c r="D260" s="29"/>
      <c r="E260" s="29"/>
      <c r="H260" s="27"/>
      <c r="K260"/>
      <c r="P260" s="27"/>
      <c r="Q260" s="27"/>
      <c r="R260" s="27"/>
    </row>
    <row r="261" spans="1:18">
      <c r="A261" s="28"/>
      <c r="B261" s="29"/>
      <c r="C261" s="29"/>
      <c r="D261" s="29"/>
      <c r="E261" s="29"/>
      <c r="H261" s="27"/>
      <c r="K261"/>
      <c r="P261" s="27"/>
      <c r="Q261" s="27"/>
      <c r="R261" s="27"/>
    </row>
    <row r="262" spans="1:18">
      <c r="A262" s="28"/>
      <c r="B262" s="29"/>
      <c r="C262" s="29"/>
      <c r="D262" s="29"/>
      <c r="E262" s="29"/>
      <c r="H262" s="27"/>
      <c r="K262"/>
      <c r="P262" s="27"/>
      <c r="Q262" s="27"/>
      <c r="R262" s="27"/>
    </row>
    <row r="263" spans="1:18">
      <c r="A263" s="28"/>
      <c r="B263" s="29"/>
      <c r="C263" s="29"/>
      <c r="D263" s="29"/>
      <c r="E263" s="29"/>
      <c r="H263" s="27"/>
      <c r="K263"/>
      <c r="P263" s="27"/>
      <c r="Q263" s="27"/>
      <c r="R263" s="27"/>
    </row>
    <row r="264" spans="1:18">
      <c r="A264" s="28"/>
      <c r="B264" s="29"/>
      <c r="C264" s="29"/>
      <c r="D264" s="29"/>
      <c r="E264" s="29"/>
      <c r="H264" s="27"/>
      <c r="K264"/>
      <c r="P264" s="27"/>
      <c r="Q264" s="27"/>
      <c r="R264" s="27"/>
    </row>
    <row r="265" spans="1:18">
      <c r="A265" s="28"/>
      <c r="B265" s="29"/>
      <c r="C265" s="29"/>
      <c r="D265" s="29"/>
      <c r="E265" s="29"/>
      <c r="H265" s="27"/>
      <c r="K265"/>
      <c r="P265" s="27"/>
      <c r="Q265" s="27"/>
      <c r="R265" s="27"/>
    </row>
    <row r="266" spans="1:18">
      <c r="A266" s="28"/>
      <c r="B266" s="29"/>
      <c r="C266" s="29"/>
      <c r="D266" s="29"/>
      <c r="E266" s="29"/>
      <c r="H266" s="27"/>
      <c r="K266"/>
      <c r="P266" s="27"/>
      <c r="Q266" s="27"/>
      <c r="R266" s="27"/>
    </row>
    <row r="267" spans="1:18">
      <c r="A267" s="28"/>
      <c r="B267" s="29"/>
      <c r="C267" s="29"/>
      <c r="D267" s="29"/>
      <c r="E267" s="29"/>
      <c r="H267" s="27"/>
      <c r="K267"/>
      <c r="P267" s="27"/>
      <c r="Q267" s="27"/>
      <c r="R267" s="27"/>
    </row>
    <row r="268" spans="1:18">
      <c r="A268" s="28"/>
      <c r="B268" s="29"/>
      <c r="C268" s="29"/>
      <c r="D268" s="29"/>
      <c r="E268" s="29"/>
      <c r="H268" s="27"/>
      <c r="K268"/>
      <c r="P268" s="27"/>
      <c r="Q268" s="27"/>
      <c r="R268" s="27"/>
    </row>
    <row r="269" spans="1:18">
      <c r="A269" s="28"/>
      <c r="B269" s="29"/>
      <c r="C269" s="29"/>
      <c r="D269" s="29"/>
      <c r="E269" s="29"/>
      <c r="H269" s="27"/>
      <c r="K269"/>
      <c r="P269" s="27"/>
      <c r="Q269" s="27"/>
      <c r="R269" s="27"/>
    </row>
    <row r="270" spans="1:18">
      <c r="A270" s="28"/>
      <c r="B270" s="29"/>
      <c r="C270" s="29"/>
      <c r="D270" s="29"/>
      <c r="E270" s="29"/>
      <c r="H270" s="27"/>
      <c r="K270"/>
      <c r="P270" s="27"/>
      <c r="Q270" s="27"/>
      <c r="R270" s="27"/>
    </row>
    <row r="271" spans="1:18">
      <c r="A271" s="28"/>
      <c r="B271" s="29"/>
      <c r="C271" s="29"/>
      <c r="D271" s="29"/>
      <c r="E271" s="29"/>
      <c r="H271" s="27"/>
      <c r="K271"/>
      <c r="P271" s="27"/>
      <c r="Q271" s="27"/>
      <c r="R271" s="27"/>
    </row>
    <row r="272" spans="1:18">
      <c r="A272" s="28"/>
      <c r="B272" s="29"/>
      <c r="C272" s="29"/>
      <c r="D272" s="29"/>
      <c r="E272" s="29"/>
      <c r="H272" s="27"/>
      <c r="K272"/>
      <c r="P272" s="27"/>
      <c r="Q272" s="27"/>
      <c r="R272" s="27"/>
    </row>
    <row r="273" spans="1:18">
      <c r="A273" s="28"/>
      <c r="B273" s="29"/>
      <c r="C273" s="29"/>
      <c r="D273" s="29"/>
      <c r="E273" s="29"/>
      <c r="H273" s="27"/>
      <c r="K273"/>
      <c r="P273" s="27"/>
      <c r="Q273" s="27"/>
      <c r="R273" s="27"/>
    </row>
    <row r="274" spans="1:18">
      <c r="A274" s="28"/>
      <c r="B274" s="29"/>
      <c r="C274" s="29"/>
      <c r="D274" s="29"/>
      <c r="E274" s="29"/>
      <c r="H274" s="27"/>
      <c r="K274"/>
      <c r="P274" s="27"/>
      <c r="Q274" s="27"/>
      <c r="R274" s="27"/>
    </row>
    <row r="275" spans="1:18">
      <c r="A275" s="28"/>
      <c r="B275" s="29"/>
      <c r="C275" s="29"/>
      <c r="D275" s="29"/>
      <c r="E275" s="29"/>
      <c r="H275" s="27"/>
      <c r="K275"/>
      <c r="P275" s="27"/>
      <c r="Q275" s="27"/>
      <c r="R275" s="27"/>
    </row>
    <row r="276" spans="1:18">
      <c r="A276" s="28"/>
      <c r="B276" s="29"/>
      <c r="C276" s="29"/>
      <c r="D276" s="29"/>
      <c r="E276" s="29"/>
      <c r="H276" s="27"/>
      <c r="K276"/>
      <c r="P276" s="27"/>
      <c r="Q276" s="27"/>
      <c r="R276" s="27"/>
    </row>
    <row r="277" spans="1:18">
      <c r="A277" s="28"/>
      <c r="B277" s="29"/>
      <c r="C277" s="29"/>
      <c r="D277" s="29"/>
      <c r="E277" s="29"/>
      <c r="H277" s="27"/>
      <c r="K277"/>
      <c r="P277" s="27"/>
      <c r="Q277" s="27"/>
      <c r="R277" s="27"/>
    </row>
    <row r="278" spans="1:18">
      <c r="A278" s="28"/>
      <c r="B278" s="29"/>
      <c r="C278" s="29"/>
      <c r="D278" s="29"/>
      <c r="E278" s="29"/>
      <c r="H278" s="27"/>
      <c r="K278"/>
      <c r="P278" s="27"/>
      <c r="Q278" s="27"/>
      <c r="R278" s="27"/>
    </row>
    <row r="279" spans="1:18">
      <c r="A279" s="28"/>
      <c r="B279" s="29"/>
      <c r="C279" s="29"/>
      <c r="D279" s="29"/>
      <c r="E279" s="29"/>
      <c r="H279" s="27"/>
      <c r="K279"/>
      <c r="P279" s="27"/>
      <c r="Q279" s="27"/>
      <c r="R279" s="27"/>
    </row>
    <row r="280" spans="1:18">
      <c r="A280" s="28"/>
      <c r="B280" s="29"/>
      <c r="C280" s="29"/>
      <c r="D280" s="29"/>
      <c r="E280" s="29"/>
      <c r="H280" s="27"/>
      <c r="K280"/>
      <c r="P280" s="27"/>
      <c r="Q280" s="27"/>
      <c r="R280" s="27"/>
    </row>
    <row r="281" spans="1:18">
      <c r="A281" s="28"/>
      <c r="B281" s="29"/>
      <c r="C281" s="29"/>
      <c r="D281" s="29"/>
      <c r="E281" s="29"/>
      <c r="H281" s="27"/>
      <c r="K281"/>
      <c r="P281" s="27"/>
      <c r="Q281" s="27"/>
      <c r="R281" s="27"/>
    </row>
    <row r="282" spans="1:18">
      <c r="A282" s="28"/>
      <c r="B282" s="29"/>
      <c r="C282" s="29"/>
      <c r="D282" s="29"/>
      <c r="E282" s="29"/>
      <c r="H282" s="27"/>
      <c r="K282"/>
      <c r="P282" s="27"/>
      <c r="Q282" s="27"/>
      <c r="R282" s="27"/>
    </row>
    <row r="283" spans="1:18">
      <c r="A283" s="28"/>
      <c r="B283" s="29"/>
      <c r="C283" s="29"/>
      <c r="D283" s="29"/>
      <c r="E283" s="29"/>
      <c r="H283" s="27"/>
      <c r="K283"/>
      <c r="P283" s="27"/>
      <c r="Q283" s="27"/>
      <c r="R283" s="27"/>
    </row>
    <row r="284" spans="1:18">
      <c r="A284" s="28"/>
      <c r="B284" s="29"/>
      <c r="C284" s="29"/>
      <c r="D284" s="29"/>
      <c r="E284" s="29"/>
      <c r="H284" s="27"/>
      <c r="K284"/>
      <c r="P284" s="27"/>
      <c r="Q284" s="27"/>
      <c r="R284" s="27"/>
    </row>
    <row r="285" spans="1:18">
      <c r="A285" s="28"/>
      <c r="B285" s="29"/>
      <c r="C285" s="29"/>
      <c r="D285" s="29"/>
      <c r="E285" s="29"/>
      <c r="H285" s="27"/>
      <c r="K285"/>
      <c r="P285" s="27"/>
      <c r="Q285" s="27"/>
      <c r="R285" s="27"/>
    </row>
    <row r="286" spans="1:18">
      <c r="A286" s="28"/>
      <c r="B286" s="29"/>
      <c r="C286" s="29"/>
      <c r="D286" s="29"/>
      <c r="E286" s="29"/>
      <c r="H286" s="27"/>
      <c r="K286"/>
      <c r="P286" s="27"/>
      <c r="Q286" s="27"/>
      <c r="R286" s="27"/>
    </row>
    <row r="287" spans="1:18">
      <c r="A287" s="28"/>
      <c r="B287" s="29"/>
      <c r="C287" s="29"/>
      <c r="D287" s="29"/>
      <c r="E287" s="29"/>
      <c r="H287" s="27"/>
      <c r="K287"/>
      <c r="P287" s="27"/>
      <c r="Q287" s="27"/>
      <c r="R287" s="27"/>
    </row>
    <row r="288" spans="1:18">
      <c r="A288" s="28"/>
      <c r="B288" s="29"/>
      <c r="C288" s="29"/>
      <c r="D288" s="29"/>
      <c r="E288" s="29"/>
      <c r="H288" s="27"/>
      <c r="K288"/>
      <c r="P288" s="27"/>
      <c r="Q288" s="27"/>
      <c r="R288" s="27"/>
    </row>
    <row r="289" spans="1:18">
      <c r="A289" s="28"/>
      <c r="B289" s="29"/>
      <c r="C289" s="29"/>
      <c r="D289" s="29"/>
      <c r="E289" s="29"/>
      <c r="H289" s="27"/>
      <c r="K289"/>
      <c r="P289" s="27"/>
      <c r="Q289" s="27"/>
      <c r="R289" s="27"/>
    </row>
    <row r="290" spans="1:18">
      <c r="A290" s="28"/>
      <c r="B290" s="29"/>
      <c r="C290" s="29"/>
      <c r="D290" s="29"/>
      <c r="E290" s="29"/>
      <c r="H290" s="27"/>
      <c r="K290"/>
      <c r="P290" s="27"/>
      <c r="Q290" s="27"/>
      <c r="R290" s="27"/>
    </row>
    <row r="291" spans="1:18">
      <c r="A291" s="28"/>
      <c r="B291" s="29"/>
      <c r="C291" s="29"/>
      <c r="D291" s="29"/>
      <c r="E291" s="29"/>
      <c r="H291" s="27"/>
      <c r="K291"/>
      <c r="P291" s="27"/>
      <c r="Q291" s="27"/>
      <c r="R291" s="27"/>
    </row>
    <row r="292" spans="1:18">
      <c r="A292" s="28"/>
      <c r="B292" s="29"/>
      <c r="C292" s="29"/>
      <c r="D292" s="29"/>
      <c r="E292" s="29"/>
      <c r="H292" s="27"/>
      <c r="K292"/>
      <c r="P292" s="27"/>
      <c r="Q292" s="27"/>
      <c r="R292" s="27"/>
    </row>
    <row r="293" spans="1:18">
      <c r="A293" s="28"/>
      <c r="B293" s="29"/>
      <c r="C293" s="29"/>
      <c r="D293" s="29"/>
      <c r="E293" s="29"/>
      <c r="H293" s="27"/>
      <c r="K293"/>
      <c r="P293" s="27"/>
      <c r="Q293" s="27"/>
      <c r="R293" s="27"/>
    </row>
    <row r="294" spans="1:18">
      <c r="A294" s="28"/>
      <c r="B294" s="29"/>
      <c r="C294" s="29"/>
      <c r="D294" s="29"/>
      <c r="E294" s="29"/>
      <c r="H294" s="27"/>
      <c r="K294"/>
      <c r="P294" s="27"/>
      <c r="Q294" s="27"/>
      <c r="R294" s="27"/>
    </row>
    <row r="295" spans="1:18">
      <c r="A295" s="28"/>
      <c r="B295" s="29"/>
      <c r="C295" s="29"/>
      <c r="D295" s="29"/>
      <c r="E295" s="29"/>
      <c r="H295" s="27"/>
      <c r="K295"/>
      <c r="P295" s="27"/>
      <c r="Q295" s="27"/>
      <c r="R295" s="27"/>
    </row>
    <row r="296" spans="1:18">
      <c r="A296" s="28"/>
      <c r="B296" s="29"/>
      <c r="C296" s="29"/>
      <c r="D296" s="29"/>
      <c r="E296" s="29"/>
      <c r="H296" s="27"/>
      <c r="K296"/>
      <c r="P296" s="27"/>
      <c r="Q296" s="27"/>
      <c r="R296" s="27"/>
    </row>
    <row r="297" spans="1:18">
      <c r="A297" s="28"/>
      <c r="B297" s="29"/>
      <c r="C297" s="29"/>
      <c r="D297" s="29"/>
      <c r="E297" s="29"/>
      <c r="H297" s="27"/>
      <c r="K297"/>
      <c r="P297" s="27"/>
      <c r="Q297" s="27"/>
      <c r="R297" s="27"/>
    </row>
    <row r="298" spans="1:18">
      <c r="A298" s="28"/>
      <c r="B298" s="29"/>
      <c r="C298" s="29"/>
      <c r="D298" s="29"/>
      <c r="E298" s="29"/>
      <c r="H298" s="27"/>
      <c r="K298"/>
      <c r="P298" s="27"/>
      <c r="Q298" s="27"/>
      <c r="R298" s="27"/>
    </row>
    <row r="299" spans="1:18">
      <c r="A299" s="28"/>
      <c r="B299" s="29"/>
      <c r="C299" s="29"/>
      <c r="D299" s="29"/>
      <c r="E299" s="29"/>
      <c r="H299" s="27"/>
      <c r="K299"/>
      <c r="P299" s="27"/>
      <c r="Q299" s="27"/>
      <c r="R299" s="27"/>
    </row>
    <row r="300" spans="1:18">
      <c r="A300" s="28"/>
      <c r="B300" s="29"/>
      <c r="C300" s="29"/>
      <c r="D300" s="29"/>
      <c r="E300" s="29"/>
      <c r="H300" s="27"/>
      <c r="K300"/>
      <c r="P300" s="27"/>
      <c r="Q300" s="27"/>
      <c r="R300" s="27"/>
    </row>
    <row r="301" spans="1:18">
      <c r="A301" s="28"/>
      <c r="B301" s="29"/>
      <c r="C301" s="29"/>
      <c r="D301" s="29"/>
      <c r="E301" s="29"/>
      <c r="H301" s="27"/>
      <c r="K301"/>
      <c r="P301" s="27"/>
      <c r="Q301" s="27"/>
      <c r="R301" s="27"/>
    </row>
    <row r="302" spans="1:18">
      <c r="A302" s="28"/>
      <c r="B302" s="29"/>
      <c r="C302" s="29"/>
      <c r="D302" s="29"/>
      <c r="E302" s="29"/>
      <c r="H302" s="27"/>
      <c r="K302"/>
      <c r="P302" s="27"/>
      <c r="Q302" s="27"/>
      <c r="R302" s="27"/>
    </row>
    <row r="303" spans="1:18">
      <c r="A303" s="28"/>
      <c r="B303" s="29"/>
      <c r="C303" s="29"/>
      <c r="D303" s="29"/>
      <c r="E303" s="29"/>
      <c r="H303" s="27"/>
      <c r="K303"/>
      <c r="P303" s="27"/>
      <c r="Q303" s="27"/>
      <c r="R303" s="27"/>
    </row>
    <row r="304" spans="1:18">
      <c r="A304" s="28"/>
      <c r="B304" s="29"/>
      <c r="C304" s="29"/>
      <c r="D304" s="29"/>
      <c r="E304" s="29"/>
      <c r="H304" s="27"/>
      <c r="K304"/>
      <c r="P304" s="27"/>
      <c r="Q304" s="27"/>
      <c r="R304" s="27"/>
    </row>
    <row r="305" spans="1:18">
      <c r="A305" s="28"/>
      <c r="B305" s="29"/>
      <c r="C305" s="29"/>
      <c r="D305" s="29"/>
      <c r="E305" s="29"/>
      <c r="H305" s="27"/>
      <c r="K305"/>
      <c r="P305" s="27"/>
      <c r="Q305" s="27"/>
      <c r="R305" s="27"/>
    </row>
    <row r="306" spans="1:18">
      <c r="A306" s="28"/>
      <c r="B306" s="29"/>
      <c r="C306" s="29"/>
      <c r="D306" s="29"/>
      <c r="E306" s="29"/>
      <c r="H306" s="27"/>
      <c r="K306"/>
      <c r="P306" s="27"/>
      <c r="Q306" s="27"/>
      <c r="R306" s="27"/>
    </row>
    <row r="307" spans="1:18">
      <c r="A307" s="28"/>
      <c r="B307" s="29"/>
      <c r="C307" s="29"/>
      <c r="D307" s="29"/>
      <c r="E307" s="29"/>
      <c r="H307" s="27"/>
      <c r="K307"/>
      <c r="P307" s="27"/>
      <c r="Q307" s="27"/>
      <c r="R307" s="27"/>
    </row>
    <row r="308" spans="1:18">
      <c r="A308" s="28"/>
      <c r="B308" s="29"/>
      <c r="C308" s="29"/>
      <c r="D308" s="29"/>
      <c r="E308" s="29"/>
      <c r="H308" s="27"/>
      <c r="K308"/>
      <c r="P308" s="27"/>
      <c r="Q308" s="27"/>
      <c r="R308" s="27"/>
    </row>
    <row r="309" spans="1:18">
      <c r="A309" s="28"/>
      <c r="B309" s="29"/>
      <c r="C309" s="29"/>
      <c r="D309" s="29"/>
      <c r="E309" s="29"/>
      <c r="H309" s="27"/>
      <c r="K309"/>
      <c r="P309" s="27"/>
      <c r="Q309" s="27"/>
      <c r="R309" s="27"/>
    </row>
    <row r="310" spans="1:18">
      <c r="A310" s="28"/>
      <c r="B310" s="29"/>
      <c r="C310" s="29"/>
      <c r="D310" s="29"/>
      <c r="E310" s="29"/>
      <c r="H310" s="27"/>
      <c r="K310"/>
      <c r="P310" s="27"/>
      <c r="Q310" s="27"/>
      <c r="R310" s="27"/>
    </row>
    <row r="311" spans="1:18">
      <c r="A311" s="28"/>
      <c r="B311" s="29"/>
      <c r="C311" s="29"/>
      <c r="D311" s="29"/>
      <c r="E311" s="29"/>
      <c r="H311" s="27"/>
      <c r="K311"/>
      <c r="P311" s="27"/>
      <c r="Q311" s="27"/>
      <c r="R311" s="27"/>
    </row>
    <row r="312" spans="1:18">
      <c r="A312" s="28"/>
      <c r="B312" s="29"/>
      <c r="C312" s="29"/>
      <c r="D312" s="29"/>
      <c r="E312" s="29"/>
      <c r="H312" s="27"/>
      <c r="K312"/>
      <c r="P312" s="27"/>
      <c r="Q312" s="27"/>
      <c r="R312" s="27"/>
    </row>
    <row r="313" spans="1:18">
      <c r="A313" s="28"/>
      <c r="B313" s="29"/>
      <c r="C313" s="29"/>
      <c r="D313" s="29"/>
      <c r="E313" s="29"/>
      <c r="H313" s="27"/>
      <c r="K313"/>
      <c r="P313" s="27"/>
      <c r="Q313" s="27"/>
      <c r="R313" s="27"/>
    </row>
    <row r="314" spans="1:18">
      <c r="A314" s="28"/>
      <c r="B314" s="29"/>
      <c r="C314" s="29"/>
      <c r="D314" s="29"/>
      <c r="E314" s="29"/>
      <c r="H314" s="27"/>
      <c r="K314"/>
      <c r="P314" s="27"/>
      <c r="Q314" s="27"/>
      <c r="R314" s="27"/>
    </row>
    <row r="315" spans="1:18">
      <c r="A315" s="28"/>
      <c r="B315" s="29"/>
      <c r="C315" s="29"/>
      <c r="D315" s="29"/>
      <c r="E315" s="29"/>
      <c r="H315" s="27"/>
      <c r="K315"/>
      <c r="P315" s="27"/>
      <c r="Q315" s="27"/>
      <c r="R315" s="27"/>
    </row>
    <row r="316" spans="1:18">
      <c r="A316" s="28"/>
      <c r="B316" s="29"/>
      <c r="C316" s="29"/>
      <c r="D316" s="29"/>
      <c r="E316" s="29"/>
      <c r="H316" s="27"/>
      <c r="K316"/>
      <c r="P316" s="27"/>
      <c r="Q316" s="27"/>
      <c r="R316" s="27"/>
    </row>
    <row r="317" spans="1:18">
      <c r="A317" s="28"/>
      <c r="B317" s="29"/>
      <c r="C317" s="29"/>
      <c r="D317" s="29"/>
      <c r="E317" s="29"/>
      <c r="H317" s="27"/>
      <c r="K317"/>
      <c r="P317" s="27"/>
      <c r="Q317" s="27"/>
      <c r="R317" s="27"/>
    </row>
    <row r="318" spans="1:18">
      <c r="A318" s="28"/>
      <c r="B318" s="29"/>
      <c r="C318" s="29"/>
      <c r="D318" s="29"/>
      <c r="E318" s="29"/>
      <c r="H318" s="27"/>
      <c r="K318"/>
      <c r="P318" s="27"/>
      <c r="Q318" s="27"/>
      <c r="R318" s="27"/>
    </row>
    <row r="319" spans="1:18">
      <c r="A319" s="28"/>
      <c r="B319" s="29"/>
      <c r="C319" s="29"/>
      <c r="D319" s="29"/>
      <c r="E319" s="29"/>
      <c r="H319" s="27"/>
      <c r="K319"/>
      <c r="P319" s="27"/>
      <c r="Q319" s="27"/>
      <c r="R319" s="27"/>
    </row>
    <row r="320" spans="1:18">
      <c r="A320" s="28"/>
      <c r="B320" s="29"/>
      <c r="C320" s="29"/>
      <c r="D320" s="29"/>
      <c r="E320" s="29"/>
      <c r="H320" s="27"/>
      <c r="K320"/>
      <c r="P320" s="27"/>
      <c r="Q320" s="27"/>
      <c r="R320" s="27"/>
    </row>
    <row r="321" spans="1:18">
      <c r="A321" s="28"/>
      <c r="B321" s="29"/>
      <c r="C321" s="29"/>
      <c r="D321" s="29"/>
      <c r="E321" s="29"/>
      <c r="H321" s="27"/>
      <c r="K321"/>
      <c r="P321" s="27"/>
      <c r="Q321" s="27"/>
      <c r="R321" s="27"/>
    </row>
    <row r="322" spans="1:18">
      <c r="A322" s="28"/>
      <c r="B322" s="29"/>
      <c r="C322" s="29"/>
      <c r="D322" s="29"/>
      <c r="E322" s="29"/>
      <c r="H322" s="27"/>
      <c r="K322"/>
      <c r="P322" s="27"/>
      <c r="Q322" s="27"/>
      <c r="R322" s="27"/>
    </row>
    <row r="323" spans="1:18">
      <c r="A323" s="28"/>
      <c r="B323" s="29"/>
      <c r="C323" s="29"/>
      <c r="D323" s="29"/>
      <c r="E323" s="29"/>
      <c r="H323" s="27"/>
      <c r="K323"/>
      <c r="P323" s="27"/>
      <c r="Q323" s="27"/>
      <c r="R323" s="27"/>
    </row>
    <row r="324" spans="1:18">
      <c r="A324" s="28"/>
      <c r="B324" s="29"/>
      <c r="C324" s="29"/>
      <c r="D324" s="29"/>
      <c r="E324" s="29"/>
      <c r="H324" s="27"/>
      <c r="K324"/>
      <c r="P324" s="27"/>
      <c r="Q324" s="27"/>
      <c r="R324" s="27"/>
    </row>
    <row r="325" spans="1:18">
      <c r="A325" s="28"/>
      <c r="B325" s="29"/>
      <c r="C325" s="29"/>
      <c r="D325" s="29"/>
      <c r="E325" s="29"/>
      <c r="H325" s="27"/>
      <c r="K325"/>
      <c r="P325" s="27"/>
      <c r="Q325" s="27"/>
      <c r="R325" s="27"/>
    </row>
    <row r="326" spans="1:18">
      <c r="A326" s="28"/>
      <c r="B326" s="29"/>
      <c r="C326" s="29"/>
      <c r="D326" s="29"/>
      <c r="E326" s="29"/>
      <c r="H326" s="27"/>
      <c r="K326"/>
      <c r="P326" s="27"/>
      <c r="Q326" s="27"/>
      <c r="R326" s="27"/>
    </row>
    <row r="327" spans="1:18">
      <c r="A327" s="28"/>
      <c r="B327" s="29"/>
      <c r="C327" s="29"/>
      <c r="D327" s="29"/>
      <c r="E327" s="29"/>
      <c r="H327" s="27"/>
      <c r="K327"/>
      <c r="P327" s="27"/>
      <c r="Q327" s="27"/>
      <c r="R327" s="27"/>
    </row>
    <row r="328" spans="1:18">
      <c r="A328" s="28"/>
      <c r="B328" s="29"/>
      <c r="C328" s="29"/>
      <c r="D328" s="29"/>
      <c r="E328" s="29"/>
      <c r="H328" s="27"/>
      <c r="K328"/>
      <c r="P328" s="27"/>
      <c r="Q328" s="27"/>
      <c r="R328" s="27"/>
    </row>
    <row r="329" spans="1:18">
      <c r="A329" s="28"/>
      <c r="B329" s="29"/>
      <c r="C329" s="29"/>
      <c r="D329" s="29"/>
      <c r="E329" s="29"/>
      <c r="H329" s="27"/>
      <c r="K329"/>
      <c r="P329" s="27"/>
      <c r="Q329" s="27"/>
      <c r="R329" s="27"/>
    </row>
    <row r="330" spans="1:18">
      <c r="A330" s="28"/>
      <c r="B330" s="29"/>
      <c r="C330" s="29"/>
      <c r="D330" s="29"/>
      <c r="E330" s="29"/>
      <c r="H330" s="27"/>
      <c r="K330"/>
      <c r="P330" s="27"/>
      <c r="Q330" s="27"/>
      <c r="R330" s="27"/>
    </row>
    <row r="331" spans="1:18">
      <c r="A331" s="28"/>
      <c r="B331" s="29"/>
      <c r="C331" s="29"/>
      <c r="D331" s="29"/>
      <c r="E331" s="29"/>
      <c r="H331" s="27"/>
      <c r="K331"/>
      <c r="P331" s="27"/>
      <c r="Q331" s="27"/>
      <c r="R331" s="27"/>
    </row>
    <row r="332" spans="1:18">
      <c r="A332" s="28"/>
      <c r="B332" s="29"/>
      <c r="C332" s="29"/>
      <c r="D332" s="29"/>
      <c r="E332" s="29"/>
      <c r="H332" s="27"/>
      <c r="K332"/>
      <c r="P332" s="27"/>
      <c r="Q332" s="27"/>
      <c r="R332" s="27"/>
    </row>
    <row r="333" spans="1:18">
      <c r="A333" s="28"/>
      <c r="B333" s="29"/>
      <c r="C333" s="29"/>
      <c r="D333" s="29"/>
      <c r="E333" s="29"/>
      <c r="H333" s="27"/>
      <c r="K333"/>
      <c r="P333" s="27"/>
      <c r="Q333" s="27"/>
      <c r="R333" s="27"/>
    </row>
    <row r="334" spans="1:18">
      <c r="A334" s="28"/>
      <c r="B334" s="29"/>
      <c r="C334" s="29"/>
      <c r="D334" s="29"/>
      <c r="E334" s="29"/>
      <c r="H334" s="27"/>
      <c r="K334"/>
      <c r="P334" s="27"/>
      <c r="Q334" s="27"/>
      <c r="R334" s="27"/>
    </row>
    <row r="335" spans="1:18">
      <c r="A335" s="28"/>
      <c r="B335" s="29"/>
      <c r="C335" s="29"/>
      <c r="D335" s="29"/>
      <c r="E335" s="29"/>
      <c r="H335" s="27"/>
      <c r="K335"/>
      <c r="P335" s="27"/>
      <c r="Q335" s="27"/>
      <c r="R335" s="27"/>
    </row>
    <row r="336" spans="1:18">
      <c r="A336" s="28"/>
      <c r="B336" s="29"/>
      <c r="C336" s="29"/>
      <c r="D336" s="29"/>
      <c r="E336" s="29"/>
      <c r="H336" s="27"/>
      <c r="K336"/>
      <c r="P336" s="27"/>
      <c r="Q336" s="27"/>
      <c r="R336" s="27"/>
    </row>
    <row r="337" spans="1:18">
      <c r="A337" s="28"/>
      <c r="B337" s="29"/>
      <c r="C337" s="29"/>
      <c r="D337" s="29"/>
      <c r="E337" s="29"/>
      <c r="H337" s="27"/>
      <c r="K337"/>
      <c r="P337" s="27"/>
      <c r="Q337" s="27"/>
      <c r="R337" s="27"/>
    </row>
    <row r="338" spans="1:18">
      <c r="A338" s="28"/>
      <c r="B338" s="29"/>
      <c r="C338" s="29"/>
      <c r="D338" s="29"/>
      <c r="E338" s="29"/>
      <c r="H338" s="27"/>
      <c r="K338"/>
      <c r="P338" s="27"/>
      <c r="Q338" s="27"/>
      <c r="R338" s="27"/>
    </row>
    <row r="339" spans="1:18">
      <c r="A339" s="28"/>
      <c r="B339" s="29"/>
      <c r="C339" s="29"/>
      <c r="D339" s="29"/>
      <c r="E339" s="29"/>
      <c r="H339" s="27"/>
      <c r="K339"/>
      <c r="P339" s="27"/>
      <c r="Q339" s="27"/>
      <c r="R339" s="27"/>
    </row>
    <row r="340" spans="1:18">
      <c r="A340" s="28"/>
      <c r="B340" s="29"/>
      <c r="C340" s="29"/>
      <c r="D340" s="29"/>
      <c r="E340" s="29"/>
      <c r="H340" s="27"/>
      <c r="K340"/>
      <c r="P340" s="27"/>
      <c r="Q340" s="27"/>
      <c r="R340" s="27"/>
    </row>
    <row r="341" spans="1:18">
      <c r="A341" s="28"/>
      <c r="B341" s="29"/>
      <c r="C341" s="29"/>
      <c r="D341" s="29"/>
      <c r="E341" s="29"/>
      <c r="H341" s="27"/>
      <c r="K341"/>
      <c r="P341" s="27"/>
      <c r="Q341" s="27"/>
      <c r="R341" s="27"/>
    </row>
    <row r="342" spans="1:18">
      <c r="A342" s="28"/>
      <c r="B342" s="29"/>
      <c r="C342" s="29"/>
      <c r="D342" s="29"/>
      <c r="E342" s="29"/>
      <c r="H342" s="27"/>
      <c r="K342"/>
      <c r="P342" s="27"/>
      <c r="Q342" s="27"/>
      <c r="R342" s="27"/>
    </row>
    <row r="343" spans="1:18">
      <c r="A343" s="28"/>
      <c r="B343" s="29"/>
      <c r="C343" s="29"/>
      <c r="D343" s="29"/>
      <c r="E343" s="29"/>
      <c r="H343" s="27"/>
      <c r="K343"/>
      <c r="P343" s="27"/>
      <c r="Q343" s="27"/>
      <c r="R343" s="27"/>
    </row>
    <row r="344" spans="1:18">
      <c r="A344" s="28"/>
      <c r="B344" s="29"/>
      <c r="C344" s="29"/>
      <c r="D344" s="29"/>
      <c r="E344" s="29"/>
      <c r="H344" s="27"/>
      <c r="K344"/>
      <c r="P344" s="27"/>
      <c r="Q344" s="27"/>
      <c r="R344" s="27"/>
    </row>
    <row r="345" spans="1:18">
      <c r="A345" s="28"/>
      <c r="B345" s="29"/>
      <c r="C345" s="29"/>
      <c r="D345" s="29"/>
      <c r="E345" s="29"/>
      <c r="H345" s="27"/>
      <c r="K345"/>
      <c r="P345" s="27"/>
      <c r="Q345" s="27"/>
      <c r="R345" s="27"/>
    </row>
    <row r="346" spans="1:18">
      <c r="A346" s="28"/>
      <c r="B346" s="29"/>
      <c r="C346" s="29"/>
      <c r="D346" s="29"/>
      <c r="E346" s="29"/>
      <c r="H346" s="27"/>
      <c r="K346"/>
      <c r="P346" s="27"/>
      <c r="Q346" s="27"/>
      <c r="R346" s="27"/>
    </row>
    <row r="347" spans="1:18">
      <c r="A347" s="28"/>
      <c r="B347" s="29"/>
      <c r="C347" s="29"/>
      <c r="D347" s="29"/>
      <c r="E347" s="29"/>
      <c r="H347" s="27"/>
      <c r="K347"/>
      <c r="P347" s="27"/>
      <c r="Q347" s="27"/>
      <c r="R347" s="27"/>
    </row>
    <row r="348" spans="1:18">
      <c r="A348" s="28"/>
      <c r="B348" s="29"/>
      <c r="C348" s="29"/>
      <c r="D348" s="29"/>
      <c r="E348" s="29"/>
      <c r="H348" s="27"/>
      <c r="K348"/>
      <c r="P348" s="27"/>
      <c r="Q348" s="27"/>
      <c r="R348" s="27"/>
    </row>
    <row r="349" spans="1:18">
      <c r="A349" s="28"/>
      <c r="B349" s="29"/>
      <c r="C349" s="29"/>
      <c r="D349" s="29"/>
      <c r="E349" s="29"/>
      <c r="H349" s="27"/>
      <c r="K349"/>
      <c r="P349" s="27"/>
      <c r="Q349" s="27"/>
      <c r="R349" s="27"/>
    </row>
    <row r="350" spans="1:18">
      <c r="A350" s="28"/>
      <c r="B350" s="29"/>
      <c r="C350" s="29"/>
      <c r="D350" s="29"/>
      <c r="E350" s="29"/>
      <c r="H350" s="27"/>
      <c r="K350"/>
      <c r="P350" s="27"/>
      <c r="Q350" s="27"/>
      <c r="R350" s="27"/>
    </row>
    <row r="351" spans="1:18">
      <c r="A351" s="28"/>
      <c r="B351" s="29"/>
      <c r="C351" s="29"/>
      <c r="D351" s="29"/>
      <c r="E351" s="29"/>
      <c r="H351" s="27"/>
      <c r="K351"/>
      <c r="P351" s="27"/>
      <c r="Q351" s="27"/>
      <c r="R351" s="27"/>
    </row>
    <row r="352" spans="1:18">
      <c r="A352" s="28"/>
      <c r="B352" s="29"/>
      <c r="C352" s="29"/>
      <c r="D352" s="29"/>
      <c r="E352" s="29"/>
      <c r="H352" s="27"/>
      <c r="K352"/>
      <c r="P352" s="27"/>
      <c r="Q352" s="27"/>
      <c r="R352" s="27"/>
    </row>
    <row r="353" spans="1:18">
      <c r="A353" s="28"/>
      <c r="B353" s="29"/>
      <c r="C353" s="29"/>
      <c r="D353" s="29"/>
      <c r="E353" s="29"/>
      <c r="H353" s="27"/>
      <c r="K353"/>
      <c r="P353" s="27"/>
      <c r="Q353" s="27"/>
      <c r="R353" s="27"/>
    </row>
    <row r="354" spans="1:18">
      <c r="A354" s="28"/>
      <c r="B354" s="29"/>
      <c r="C354" s="29"/>
      <c r="D354" s="29"/>
      <c r="E354" s="29"/>
      <c r="H354" s="27"/>
      <c r="K354"/>
      <c r="P354" s="27"/>
      <c r="Q354" s="27"/>
      <c r="R354" s="27"/>
    </row>
    <row r="355" spans="1:18">
      <c r="A355" s="28"/>
      <c r="B355" s="29"/>
      <c r="C355" s="29"/>
      <c r="D355" s="29"/>
      <c r="E355" s="29"/>
      <c r="H355" s="27"/>
      <c r="K355"/>
      <c r="P355" s="27"/>
      <c r="Q355" s="27"/>
      <c r="R355" s="27"/>
    </row>
    <row r="356" spans="1:18">
      <c r="A356" s="28"/>
      <c r="B356" s="29"/>
      <c r="C356" s="29"/>
      <c r="D356" s="29"/>
      <c r="E356" s="29"/>
      <c r="H356" s="27"/>
      <c r="K356"/>
      <c r="P356" s="27"/>
      <c r="Q356" s="27"/>
      <c r="R356" s="27"/>
    </row>
    <row r="357" spans="1:18">
      <c r="A357" s="28"/>
      <c r="B357" s="29"/>
      <c r="C357" s="29"/>
      <c r="D357" s="29"/>
      <c r="E357" s="29"/>
      <c r="H357" s="27"/>
      <c r="K357"/>
      <c r="P357" s="27"/>
      <c r="Q357" s="27"/>
      <c r="R357" s="27"/>
    </row>
    <row r="358" spans="1:18">
      <c r="A358" s="28"/>
      <c r="B358" s="29"/>
      <c r="C358" s="29"/>
      <c r="D358" s="29"/>
      <c r="E358" s="29"/>
      <c r="H358" s="27"/>
      <c r="K358"/>
      <c r="P358" s="27"/>
      <c r="Q358" s="27"/>
      <c r="R358" s="27"/>
    </row>
    <row r="359" spans="1:18">
      <c r="A359" s="28"/>
      <c r="B359" s="29"/>
      <c r="C359" s="29"/>
      <c r="D359" s="29"/>
      <c r="E359" s="29"/>
      <c r="H359" s="27"/>
      <c r="K359"/>
      <c r="P359" s="27"/>
      <c r="Q359" s="27"/>
      <c r="R359" s="27"/>
    </row>
    <row r="360" spans="1:18">
      <c r="A360" s="28"/>
      <c r="B360" s="29"/>
      <c r="C360" s="29"/>
      <c r="D360" s="29"/>
      <c r="E360" s="29"/>
      <c r="H360" s="27"/>
      <c r="K360"/>
      <c r="P360" s="27"/>
      <c r="Q360" s="27"/>
      <c r="R360" s="27"/>
    </row>
    <row r="361" spans="1:18">
      <c r="A361" s="28"/>
      <c r="B361" s="29"/>
      <c r="C361" s="29"/>
      <c r="D361" s="29"/>
      <c r="E361" s="29"/>
      <c r="H361" s="27"/>
      <c r="K361"/>
      <c r="P361" s="27"/>
      <c r="Q361" s="27"/>
      <c r="R361" s="27"/>
    </row>
    <row r="362" spans="1:18">
      <c r="A362" s="28"/>
      <c r="B362" s="29"/>
      <c r="C362" s="29"/>
      <c r="D362" s="29"/>
      <c r="E362" s="29"/>
      <c r="H362" s="27"/>
      <c r="K362"/>
      <c r="P362" s="27"/>
      <c r="Q362" s="27"/>
      <c r="R362" s="27"/>
    </row>
    <row r="363" spans="1:18">
      <c r="A363" s="28"/>
      <c r="B363" s="29"/>
      <c r="C363" s="29"/>
      <c r="D363" s="29"/>
      <c r="E363" s="29"/>
      <c r="H363" s="27"/>
      <c r="K363"/>
      <c r="P363" s="27"/>
      <c r="Q363" s="27"/>
      <c r="R363" s="27"/>
    </row>
    <row r="364" spans="1:18">
      <c r="A364" s="28"/>
      <c r="B364" s="29"/>
      <c r="C364" s="29"/>
      <c r="D364" s="29"/>
      <c r="E364" s="29"/>
      <c r="H364" s="27"/>
      <c r="K364"/>
      <c r="P364" s="27"/>
      <c r="Q364" s="27"/>
      <c r="R364" s="27"/>
    </row>
    <row r="365" spans="1:18">
      <c r="A365" s="28"/>
      <c r="B365" s="29"/>
      <c r="C365" s="29"/>
      <c r="D365" s="29"/>
      <c r="E365" s="29"/>
      <c r="H365" s="27"/>
      <c r="K365"/>
      <c r="P365" s="27"/>
      <c r="Q365" s="27"/>
      <c r="R365" s="27"/>
    </row>
    <row r="366" spans="1:18">
      <c r="A366" s="28"/>
      <c r="B366" s="29"/>
      <c r="C366" s="29"/>
      <c r="D366" s="29"/>
      <c r="E366" s="29"/>
      <c r="H366" s="27"/>
      <c r="K366"/>
      <c r="P366" s="27"/>
      <c r="Q366" s="27"/>
      <c r="R366" s="27"/>
    </row>
    <row r="367" spans="1:18">
      <c r="A367" s="28"/>
      <c r="B367" s="29"/>
      <c r="C367" s="29"/>
      <c r="D367" s="29"/>
      <c r="E367" s="29"/>
      <c r="H367" s="27"/>
      <c r="K367"/>
      <c r="P367" s="27"/>
      <c r="Q367" s="27"/>
      <c r="R367" s="27"/>
    </row>
    <row r="368" spans="1:18">
      <c r="A368" s="28"/>
      <c r="B368" s="29"/>
      <c r="C368" s="29"/>
      <c r="D368" s="29"/>
      <c r="E368" s="29"/>
      <c r="H368" s="27"/>
      <c r="K368"/>
      <c r="P368" s="27"/>
      <c r="Q368" s="27"/>
      <c r="R368" s="27"/>
    </row>
    <row r="369" spans="1:18">
      <c r="A369" s="28"/>
      <c r="B369" s="29"/>
      <c r="C369" s="29"/>
      <c r="D369" s="29"/>
      <c r="E369" s="29"/>
      <c r="H369" s="27"/>
      <c r="K369"/>
      <c r="P369" s="27"/>
      <c r="Q369" s="27"/>
      <c r="R369" s="27"/>
    </row>
    <row r="370" spans="1:18">
      <c r="A370" s="28"/>
      <c r="B370" s="29"/>
      <c r="C370" s="29"/>
      <c r="D370" s="29"/>
      <c r="E370" s="29"/>
      <c r="H370" s="27"/>
      <c r="K370"/>
      <c r="P370" s="27"/>
      <c r="Q370" s="27"/>
      <c r="R370" s="27"/>
    </row>
    <row r="371" spans="1:18">
      <c r="A371" s="28"/>
      <c r="B371" s="29"/>
      <c r="C371" s="29"/>
      <c r="D371" s="29"/>
      <c r="E371" s="29"/>
      <c r="H371" s="27"/>
      <c r="K371"/>
      <c r="P371" s="27"/>
      <c r="Q371" s="27"/>
      <c r="R371" s="27"/>
    </row>
    <row r="372" spans="1:18">
      <c r="A372" s="28"/>
      <c r="B372" s="29"/>
      <c r="C372" s="29"/>
      <c r="D372" s="29"/>
      <c r="E372" s="29"/>
      <c r="H372" s="27"/>
      <c r="K372"/>
      <c r="P372" s="27"/>
      <c r="Q372" s="27"/>
      <c r="R372" s="27"/>
    </row>
    <row r="373" spans="1:18">
      <c r="A373" s="28"/>
      <c r="B373" s="29"/>
      <c r="C373" s="29"/>
      <c r="D373" s="29"/>
      <c r="E373" s="29"/>
      <c r="H373" s="27"/>
      <c r="K373"/>
      <c r="P373" s="27"/>
      <c r="Q373" s="27"/>
      <c r="R373" s="27"/>
    </row>
    <row r="374" spans="1:18">
      <c r="A374" s="28"/>
      <c r="B374" s="29"/>
      <c r="C374" s="29"/>
      <c r="D374" s="29"/>
      <c r="E374" s="29"/>
      <c r="H374" s="27"/>
      <c r="K374"/>
      <c r="P374" s="27"/>
      <c r="Q374" s="27"/>
      <c r="R374" s="27"/>
    </row>
    <row r="375" spans="1:18">
      <c r="A375" s="28"/>
      <c r="B375" s="29"/>
      <c r="C375" s="29"/>
      <c r="D375" s="29"/>
      <c r="E375" s="29"/>
      <c r="H375" s="27"/>
      <c r="K375"/>
      <c r="P375" s="27"/>
      <c r="Q375" s="27"/>
      <c r="R375" s="27"/>
    </row>
    <row r="376" spans="1:18">
      <c r="A376" s="28"/>
      <c r="B376" s="29"/>
      <c r="C376" s="29"/>
      <c r="D376" s="29"/>
      <c r="E376" s="29"/>
      <c r="H376" s="27"/>
      <c r="K376"/>
      <c r="P376" s="27"/>
      <c r="Q376" s="27"/>
      <c r="R376" s="27"/>
    </row>
    <row r="377" spans="1:18">
      <c r="A377" s="28"/>
      <c r="B377" s="29"/>
      <c r="C377" s="29"/>
      <c r="D377" s="29"/>
      <c r="E377" s="29"/>
      <c r="H377" s="27"/>
      <c r="K377"/>
      <c r="P377" s="27"/>
      <c r="Q377" s="27"/>
      <c r="R377" s="27"/>
    </row>
    <row r="378" spans="1:18">
      <c r="A378" s="28"/>
      <c r="B378" s="29"/>
      <c r="C378" s="29"/>
      <c r="D378" s="29"/>
      <c r="E378" s="29"/>
      <c r="H378" s="27"/>
      <c r="K378"/>
      <c r="P378" s="27"/>
      <c r="Q378" s="27"/>
      <c r="R378" s="27"/>
    </row>
    <row r="379" spans="1:18">
      <c r="A379" s="28"/>
      <c r="B379" s="29"/>
      <c r="C379" s="29"/>
      <c r="D379" s="29"/>
      <c r="E379" s="29"/>
      <c r="H379" s="27"/>
      <c r="K379"/>
      <c r="P379" s="27"/>
      <c r="Q379" s="27"/>
      <c r="R379" s="27"/>
    </row>
    <row r="380" spans="1:18">
      <c r="A380" s="28"/>
      <c r="B380" s="29"/>
      <c r="C380" s="29"/>
      <c r="D380" s="29"/>
      <c r="E380" s="29"/>
      <c r="H380" s="27"/>
      <c r="K380"/>
      <c r="P380" s="27"/>
      <c r="Q380" s="27"/>
      <c r="R380" s="27"/>
    </row>
    <row r="381" spans="1:18">
      <c r="A381" s="28"/>
      <c r="B381" s="29"/>
      <c r="C381" s="29"/>
      <c r="D381" s="29"/>
      <c r="E381" s="29"/>
      <c r="H381" s="27"/>
      <c r="K381"/>
      <c r="P381" s="27"/>
      <c r="Q381" s="27"/>
      <c r="R381" s="27"/>
    </row>
    <row r="382" spans="1:18">
      <c r="A382" s="28"/>
      <c r="B382" s="29"/>
      <c r="C382" s="29"/>
      <c r="D382" s="29"/>
      <c r="E382" s="29"/>
      <c r="H382" s="27"/>
      <c r="K382"/>
      <c r="P382" s="27"/>
      <c r="Q382" s="27"/>
      <c r="R382" s="27"/>
    </row>
    <row r="383" spans="1:18">
      <c r="A383" s="28"/>
      <c r="B383" s="29"/>
      <c r="C383" s="29"/>
      <c r="D383" s="29"/>
      <c r="E383" s="29"/>
      <c r="H383" s="27"/>
      <c r="K383"/>
      <c r="P383" s="27"/>
      <c r="Q383" s="27"/>
      <c r="R383" s="27"/>
    </row>
    <row r="384" spans="1:18">
      <c r="A384" s="28"/>
      <c r="B384" s="29"/>
      <c r="C384" s="29"/>
      <c r="D384" s="29"/>
      <c r="E384" s="29"/>
      <c r="H384" s="27"/>
      <c r="K384"/>
      <c r="P384" s="27"/>
      <c r="Q384" s="27"/>
      <c r="R384" s="27"/>
    </row>
    <row r="385" spans="1:18">
      <c r="A385" s="28"/>
      <c r="B385" s="29"/>
      <c r="C385" s="29"/>
      <c r="D385" s="29"/>
      <c r="E385" s="29"/>
      <c r="H385" s="27"/>
      <c r="K385"/>
      <c r="P385" s="27"/>
      <c r="Q385" s="27"/>
      <c r="R385" s="27"/>
    </row>
    <row r="386" spans="1:18">
      <c r="A386" s="28"/>
      <c r="B386" s="29"/>
      <c r="C386" s="29"/>
      <c r="D386" s="29"/>
      <c r="E386" s="29"/>
      <c r="H386" s="27"/>
      <c r="K386"/>
      <c r="P386" s="27"/>
      <c r="Q386" s="27"/>
      <c r="R386" s="27"/>
    </row>
    <row r="387" spans="1:18">
      <c r="A387" s="28"/>
      <c r="B387" s="29"/>
      <c r="C387" s="29"/>
      <c r="D387" s="29"/>
      <c r="E387" s="29"/>
      <c r="H387" s="27"/>
      <c r="K387"/>
      <c r="P387" s="27"/>
      <c r="Q387" s="27"/>
      <c r="R387" s="27"/>
    </row>
    <row r="388" spans="1:18">
      <c r="A388" s="28"/>
      <c r="B388" s="29"/>
      <c r="C388" s="29"/>
      <c r="D388" s="29"/>
      <c r="E388" s="29"/>
      <c r="H388" s="27"/>
      <c r="K388"/>
      <c r="P388" s="27"/>
      <c r="Q388" s="27"/>
      <c r="R388" s="27"/>
    </row>
    <row r="389" spans="1:18">
      <c r="A389" s="28"/>
      <c r="B389" s="29"/>
      <c r="C389" s="29"/>
      <c r="D389" s="29"/>
      <c r="E389" s="29"/>
      <c r="H389" s="27"/>
      <c r="K389"/>
      <c r="P389" s="27"/>
      <c r="Q389" s="27"/>
      <c r="R389" s="27"/>
    </row>
    <row r="390" spans="1:18">
      <c r="A390" s="28"/>
      <c r="B390" s="29"/>
      <c r="C390" s="29"/>
      <c r="D390" s="29"/>
      <c r="E390" s="29"/>
      <c r="H390" s="27"/>
      <c r="K390"/>
      <c r="P390" s="27"/>
      <c r="Q390" s="27"/>
      <c r="R390" s="27"/>
    </row>
    <row r="391" spans="1:18">
      <c r="A391" s="28"/>
      <c r="B391" s="29"/>
      <c r="C391" s="29"/>
      <c r="D391" s="29"/>
      <c r="E391" s="29"/>
      <c r="H391" s="27"/>
      <c r="K391"/>
      <c r="P391" s="27"/>
      <c r="Q391" s="27"/>
      <c r="R391" s="27"/>
    </row>
    <row r="392" spans="1:18">
      <c r="A392" s="28"/>
      <c r="B392" s="29"/>
      <c r="C392" s="29"/>
      <c r="D392" s="29"/>
      <c r="E392" s="29"/>
      <c r="H392" s="27"/>
      <c r="K392"/>
      <c r="P392" s="27"/>
      <c r="Q392" s="27"/>
      <c r="R392" s="27"/>
    </row>
    <row r="393" spans="1:18">
      <c r="A393" s="28"/>
      <c r="B393" s="29"/>
      <c r="C393" s="29"/>
      <c r="D393" s="29"/>
      <c r="E393" s="29"/>
      <c r="H393" s="27"/>
      <c r="K393"/>
      <c r="P393" s="27"/>
      <c r="Q393" s="27"/>
      <c r="R393" s="27"/>
    </row>
    <row r="394" spans="1:18">
      <c r="A394" s="28"/>
      <c r="B394" s="29"/>
      <c r="C394" s="29"/>
      <c r="D394" s="29"/>
      <c r="E394" s="29"/>
      <c r="H394" s="27"/>
      <c r="K394"/>
      <c r="P394" s="27"/>
      <c r="Q394" s="27"/>
      <c r="R394" s="27"/>
    </row>
    <row r="395" spans="1:18">
      <c r="A395" s="28"/>
      <c r="B395" s="29"/>
      <c r="C395" s="29"/>
      <c r="D395" s="29"/>
      <c r="E395" s="29"/>
      <c r="H395" s="27"/>
      <c r="K395"/>
      <c r="P395" s="27"/>
      <c r="Q395" s="27"/>
      <c r="R395" s="27"/>
    </row>
    <row r="396" spans="1:18">
      <c r="A396" s="28"/>
      <c r="B396" s="29"/>
      <c r="C396" s="29"/>
      <c r="D396" s="29"/>
      <c r="E396" s="29"/>
      <c r="H396" s="27"/>
      <c r="K396"/>
      <c r="P396" s="27"/>
      <c r="Q396" s="27"/>
      <c r="R396" s="27"/>
    </row>
    <row r="397" spans="1:18">
      <c r="A397" s="28"/>
      <c r="B397" s="29"/>
      <c r="C397" s="29"/>
      <c r="D397" s="29"/>
      <c r="E397" s="29"/>
      <c r="H397" s="27"/>
      <c r="K397"/>
      <c r="P397" s="27"/>
      <c r="Q397" s="27"/>
      <c r="R397" s="27"/>
    </row>
    <row r="398" spans="1:18">
      <c r="A398" s="28"/>
      <c r="B398" s="29"/>
      <c r="C398" s="29"/>
      <c r="D398" s="29"/>
      <c r="E398" s="29"/>
      <c r="H398" s="27"/>
      <c r="K398"/>
      <c r="P398" s="27"/>
      <c r="Q398" s="27"/>
      <c r="R398" s="27"/>
    </row>
    <row r="399" spans="1:18">
      <c r="A399" s="28"/>
      <c r="B399" s="29"/>
      <c r="C399" s="29"/>
      <c r="D399" s="29"/>
      <c r="E399" s="29"/>
      <c r="H399" s="27"/>
      <c r="K399"/>
      <c r="P399" s="27"/>
      <c r="Q399" s="27"/>
      <c r="R399" s="27"/>
    </row>
    <row r="400" spans="1:18">
      <c r="A400" s="28"/>
      <c r="B400" s="29"/>
      <c r="C400" s="29"/>
      <c r="D400" s="29"/>
      <c r="E400" s="29"/>
      <c r="H400" s="27"/>
      <c r="K400"/>
      <c r="P400" s="27"/>
      <c r="Q400" s="27"/>
      <c r="R400" s="27"/>
    </row>
    <row r="401" spans="1:18">
      <c r="A401" s="28"/>
      <c r="B401" s="29"/>
      <c r="C401" s="29"/>
      <c r="D401" s="29"/>
      <c r="E401" s="29"/>
      <c r="H401" s="27"/>
      <c r="K401"/>
      <c r="P401" s="27"/>
      <c r="Q401" s="27"/>
      <c r="R401" s="27"/>
    </row>
    <row r="402" spans="1:18">
      <c r="A402" s="28"/>
      <c r="B402" s="29"/>
      <c r="C402" s="29"/>
      <c r="D402" s="29"/>
      <c r="E402" s="29"/>
      <c r="H402" s="27"/>
      <c r="K402"/>
      <c r="P402" s="27"/>
      <c r="Q402" s="27"/>
      <c r="R402" s="27"/>
    </row>
    <row r="403" spans="1:18">
      <c r="A403" s="28"/>
      <c r="B403" s="29"/>
      <c r="C403" s="29"/>
      <c r="D403" s="29"/>
      <c r="E403" s="29"/>
      <c r="H403" s="27"/>
      <c r="K403"/>
      <c r="P403" s="27"/>
      <c r="Q403" s="27"/>
      <c r="R403" s="27"/>
    </row>
    <row r="404" spans="1:18">
      <c r="A404" s="28"/>
      <c r="B404" s="29"/>
      <c r="C404" s="29"/>
      <c r="D404" s="29"/>
      <c r="E404" s="29"/>
      <c r="H404" s="27"/>
      <c r="K404"/>
      <c r="P404" s="27"/>
      <c r="Q404" s="27"/>
      <c r="R404" s="27"/>
    </row>
    <row r="405" spans="1:18">
      <c r="A405" s="28"/>
      <c r="B405" s="29"/>
      <c r="C405" s="29"/>
      <c r="D405" s="29"/>
      <c r="E405" s="29"/>
      <c r="H405" s="27"/>
      <c r="K405"/>
      <c r="P405" s="27"/>
      <c r="Q405" s="27"/>
      <c r="R405" s="27"/>
    </row>
    <row r="406" spans="1:18">
      <c r="A406" s="28"/>
      <c r="B406" s="29"/>
      <c r="C406" s="29"/>
      <c r="D406" s="29"/>
      <c r="E406" s="29"/>
      <c r="H406" s="27"/>
      <c r="K406"/>
      <c r="P406" s="27"/>
      <c r="Q406" s="27"/>
      <c r="R406" s="27"/>
    </row>
    <row r="407" spans="1:18">
      <c r="A407" s="28"/>
      <c r="B407" s="29"/>
      <c r="C407" s="29"/>
      <c r="D407" s="29"/>
      <c r="E407" s="29"/>
      <c r="H407" s="27"/>
      <c r="K407"/>
      <c r="P407" s="27"/>
      <c r="Q407" s="27"/>
      <c r="R407" s="27"/>
    </row>
    <row r="408" spans="1:18">
      <c r="A408" s="28"/>
      <c r="B408" s="29"/>
      <c r="C408" s="29"/>
      <c r="D408" s="29"/>
      <c r="E408" s="29"/>
      <c r="H408" s="27"/>
      <c r="K408"/>
      <c r="P408" s="27"/>
      <c r="Q408" s="27"/>
      <c r="R408" s="27"/>
    </row>
    <row r="409" spans="1:18">
      <c r="A409" s="28"/>
      <c r="B409" s="29"/>
      <c r="C409" s="29"/>
      <c r="D409" s="29"/>
      <c r="E409" s="29"/>
      <c r="H409" s="27"/>
      <c r="K409"/>
      <c r="P409" s="27"/>
      <c r="Q409" s="27"/>
      <c r="R409" s="27"/>
    </row>
    <row r="410" spans="1:18">
      <c r="A410" s="28"/>
      <c r="B410" s="29"/>
      <c r="C410" s="29"/>
      <c r="D410" s="29"/>
      <c r="E410" s="29"/>
      <c r="H410" s="27"/>
      <c r="K410"/>
      <c r="P410" s="27"/>
      <c r="Q410" s="27"/>
      <c r="R410" s="27"/>
    </row>
    <row r="411" spans="1:18">
      <c r="A411" s="28"/>
      <c r="B411" s="29"/>
      <c r="C411" s="29"/>
      <c r="D411" s="29"/>
      <c r="E411" s="29"/>
      <c r="H411" s="27"/>
      <c r="K411"/>
      <c r="P411" s="27"/>
      <c r="Q411" s="27"/>
      <c r="R411" s="27"/>
    </row>
    <row r="412" spans="1:18">
      <c r="A412" s="28"/>
      <c r="B412" s="29"/>
      <c r="C412" s="29"/>
      <c r="D412" s="29"/>
      <c r="E412" s="29"/>
      <c r="H412" s="27"/>
      <c r="K412"/>
      <c r="P412" s="27"/>
      <c r="Q412" s="27"/>
      <c r="R412" s="27"/>
    </row>
    <row r="413" spans="1:18">
      <c r="A413" s="28"/>
      <c r="B413" s="29"/>
      <c r="C413" s="29"/>
      <c r="D413" s="29"/>
      <c r="E413" s="29"/>
      <c r="H413" s="27"/>
      <c r="K413"/>
      <c r="P413" s="27"/>
      <c r="Q413" s="27"/>
      <c r="R413" s="27"/>
    </row>
    <row r="414" spans="1:18">
      <c r="A414" s="28"/>
      <c r="B414" s="29"/>
      <c r="C414" s="29"/>
      <c r="D414" s="29"/>
      <c r="E414" s="29"/>
      <c r="H414" s="27"/>
      <c r="K414"/>
      <c r="P414" s="27"/>
      <c r="Q414" s="27"/>
      <c r="R414" s="27"/>
    </row>
    <row r="415" spans="1:18">
      <c r="A415" s="28"/>
      <c r="B415" s="29"/>
      <c r="C415" s="29"/>
      <c r="D415" s="29"/>
      <c r="E415" s="29"/>
      <c r="H415" s="27"/>
      <c r="K415"/>
      <c r="P415" s="27"/>
      <c r="Q415" s="27"/>
      <c r="R415" s="27"/>
    </row>
    <row r="416" spans="1:18">
      <c r="A416" s="28"/>
      <c r="B416" s="29"/>
      <c r="C416" s="29"/>
      <c r="D416" s="29"/>
      <c r="E416" s="29"/>
      <c r="H416" s="27"/>
      <c r="K416"/>
      <c r="P416" s="27"/>
      <c r="Q416" s="27"/>
      <c r="R416" s="27"/>
    </row>
    <row r="417" spans="1:18">
      <c r="A417" s="28"/>
      <c r="B417" s="29"/>
      <c r="C417" s="29"/>
      <c r="D417" s="29"/>
      <c r="E417" s="29"/>
      <c r="H417" s="27"/>
      <c r="K417"/>
      <c r="P417" s="27"/>
      <c r="Q417" s="27"/>
      <c r="R417" s="27"/>
    </row>
    <row r="418" spans="1:18">
      <c r="A418" s="28"/>
      <c r="B418" s="29"/>
      <c r="C418" s="29"/>
      <c r="D418" s="29"/>
      <c r="E418" s="29"/>
      <c r="H418" s="27"/>
      <c r="K418"/>
      <c r="P418" s="27"/>
      <c r="Q418" s="27"/>
      <c r="R418" s="27"/>
    </row>
    <row r="419" spans="1:18">
      <c r="A419" s="28"/>
      <c r="B419" s="29"/>
      <c r="C419" s="29"/>
      <c r="D419" s="29"/>
      <c r="E419" s="29"/>
      <c r="H419" s="27"/>
      <c r="K419"/>
      <c r="P419" s="27"/>
      <c r="Q419" s="27"/>
      <c r="R419" s="27"/>
    </row>
    <row r="420" spans="1:18">
      <c r="A420" s="28"/>
      <c r="B420" s="29"/>
      <c r="C420" s="29"/>
      <c r="D420" s="29"/>
      <c r="E420" s="29"/>
      <c r="H420" s="27"/>
      <c r="K420"/>
      <c r="P420" s="27"/>
      <c r="Q420" s="27"/>
      <c r="R420" s="27"/>
    </row>
    <row r="421" spans="1:18">
      <c r="A421" s="28"/>
      <c r="B421" s="29"/>
      <c r="C421" s="29"/>
      <c r="D421" s="29"/>
      <c r="E421" s="29"/>
      <c r="H421" s="27"/>
      <c r="K421"/>
      <c r="P421" s="27"/>
      <c r="Q421" s="27"/>
      <c r="R421" s="27"/>
    </row>
    <row r="422" spans="1:18">
      <c r="A422" s="28"/>
      <c r="B422" s="29"/>
      <c r="C422" s="29"/>
      <c r="D422" s="29"/>
      <c r="E422" s="29"/>
      <c r="H422" s="27"/>
      <c r="K422"/>
      <c r="P422" s="27"/>
      <c r="Q422" s="27"/>
      <c r="R422" s="27"/>
    </row>
    <row r="423" spans="1:18">
      <c r="A423" s="28"/>
      <c r="B423" s="29"/>
      <c r="C423" s="29"/>
      <c r="D423" s="29"/>
      <c r="E423" s="29"/>
      <c r="H423" s="27"/>
      <c r="K423"/>
      <c r="P423" s="27"/>
      <c r="Q423" s="27"/>
      <c r="R423" s="27"/>
    </row>
    <row r="424" spans="1:18">
      <c r="A424" s="28"/>
      <c r="B424" s="29"/>
      <c r="C424" s="29"/>
      <c r="D424" s="29"/>
      <c r="E424" s="29"/>
      <c r="H424" s="27"/>
      <c r="K424"/>
      <c r="P424" s="27"/>
      <c r="Q424" s="27"/>
      <c r="R424" s="27"/>
    </row>
    <row r="425" spans="1:18">
      <c r="A425" s="28"/>
      <c r="B425" s="29"/>
      <c r="C425" s="29"/>
      <c r="D425" s="29"/>
      <c r="E425" s="29"/>
      <c r="H425" s="27"/>
      <c r="K425"/>
      <c r="P425" s="27"/>
      <c r="Q425" s="27"/>
      <c r="R425" s="27"/>
    </row>
    <row r="426" spans="1:18">
      <c r="A426" s="28"/>
      <c r="B426" s="29"/>
      <c r="C426" s="29"/>
      <c r="D426" s="29"/>
      <c r="E426" s="29"/>
      <c r="H426" s="27"/>
      <c r="K426"/>
      <c r="P426" s="27"/>
      <c r="Q426" s="27"/>
      <c r="R426" s="27"/>
    </row>
    <row r="427" spans="1:18">
      <c r="A427" s="28"/>
      <c r="B427" s="29"/>
      <c r="C427" s="29"/>
      <c r="D427" s="29"/>
      <c r="E427" s="29"/>
      <c r="H427" s="27"/>
      <c r="K427"/>
      <c r="P427" s="27"/>
      <c r="Q427" s="27"/>
      <c r="R427" s="27"/>
    </row>
    <row r="428" spans="1:18">
      <c r="A428" s="28"/>
      <c r="B428" s="29"/>
      <c r="C428" s="29"/>
      <c r="D428" s="29"/>
      <c r="E428" s="29"/>
      <c r="H428" s="27"/>
      <c r="K428"/>
      <c r="P428" s="27"/>
      <c r="Q428" s="27"/>
      <c r="R428" s="27"/>
    </row>
    <row r="429" spans="1:18">
      <c r="A429" s="28"/>
      <c r="B429" s="29"/>
      <c r="C429" s="29"/>
      <c r="D429" s="29"/>
      <c r="E429" s="29"/>
      <c r="H429" s="27"/>
      <c r="K429"/>
      <c r="P429" s="27"/>
      <c r="Q429" s="27"/>
      <c r="R429" s="27"/>
    </row>
    <row r="430" spans="1:18">
      <c r="A430" s="28"/>
      <c r="B430" s="29"/>
      <c r="C430" s="29"/>
      <c r="D430" s="29"/>
      <c r="E430" s="29"/>
      <c r="H430" s="27"/>
      <c r="K430"/>
      <c r="P430" s="27"/>
      <c r="Q430" s="27"/>
      <c r="R430" s="27"/>
    </row>
    <row r="431" spans="1:18">
      <c r="A431" s="28"/>
      <c r="B431" s="29"/>
      <c r="C431" s="29"/>
      <c r="D431" s="29"/>
      <c r="E431" s="29"/>
      <c r="H431" s="27"/>
      <c r="K431"/>
      <c r="P431" s="27"/>
      <c r="Q431" s="27"/>
      <c r="R431" s="27"/>
    </row>
    <row r="432" spans="1:18">
      <c r="A432" s="28"/>
      <c r="B432" s="29"/>
      <c r="C432" s="29"/>
      <c r="D432" s="29"/>
      <c r="E432" s="29"/>
      <c r="H432" s="27"/>
      <c r="K432"/>
      <c r="P432" s="27"/>
      <c r="Q432" s="27"/>
      <c r="R432" s="27"/>
    </row>
    <row r="433" spans="1:18">
      <c r="A433" s="28"/>
      <c r="B433" s="29"/>
      <c r="C433" s="29"/>
      <c r="D433" s="29"/>
      <c r="E433" s="29"/>
      <c r="H433" s="27"/>
      <c r="K433"/>
      <c r="P433" s="27"/>
      <c r="Q433" s="27"/>
      <c r="R433" s="27"/>
    </row>
    <row r="434" spans="1:18">
      <c r="A434" s="28"/>
      <c r="B434" s="29"/>
      <c r="C434" s="29"/>
      <c r="D434" s="29"/>
      <c r="E434" s="29"/>
      <c r="H434" s="27"/>
      <c r="K434"/>
      <c r="P434" s="27"/>
      <c r="Q434" s="27"/>
      <c r="R434" s="27"/>
    </row>
    <row r="435" spans="1:18">
      <c r="A435" s="28"/>
      <c r="B435" s="29"/>
      <c r="C435" s="29"/>
      <c r="D435" s="29"/>
      <c r="E435" s="29"/>
      <c r="H435" s="27"/>
      <c r="K435"/>
      <c r="P435" s="27"/>
      <c r="Q435" s="27"/>
      <c r="R435" s="27"/>
    </row>
    <row r="436" spans="1:18">
      <c r="A436" s="28"/>
      <c r="B436" s="29"/>
      <c r="C436" s="29"/>
      <c r="D436" s="29"/>
      <c r="E436" s="29"/>
      <c r="H436" s="27"/>
      <c r="K436"/>
      <c r="P436" s="27"/>
      <c r="Q436" s="27"/>
      <c r="R436" s="27"/>
    </row>
    <row r="437" spans="1:18">
      <c r="A437" s="28"/>
      <c r="B437" s="29"/>
      <c r="C437" s="29"/>
      <c r="D437" s="29"/>
      <c r="E437" s="29"/>
      <c r="H437" s="27"/>
      <c r="K437"/>
      <c r="P437" s="27"/>
      <c r="Q437" s="27"/>
      <c r="R437" s="27"/>
    </row>
    <row r="438" spans="1:18">
      <c r="A438" s="28"/>
      <c r="B438" s="29"/>
      <c r="C438" s="29"/>
      <c r="D438" s="29"/>
      <c r="E438" s="29"/>
      <c r="H438" s="27"/>
      <c r="K438"/>
      <c r="P438" s="27"/>
      <c r="Q438" s="27"/>
      <c r="R438" s="27"/>
    </row>
    <row r="439" spans="1:18">
      <c r="A439" s="28"/>
      <c r="B439" s="29"/>
      <c r="C439" s="29"/>
      <c r="D439" s="29"/>
      <c r="E439" s="29"/>
      <c r="H439" s="27"/>
      <c r="K439"/>
      <c r="P439" s="27"/>
      <c r="Q439" s="27"/>
      <c r="R439" s="27"/>
    </row>
    <row r="440" spans="1:18">
      <c r="A440" s="28"/>
      <c r="B440" s="29"/>
      <c r="C440" s="29"/>
      <c r="D440" s="29"/>
      <c r="E440" s="29"/>
      <c r="H440" s="27"/>
      <c r="K440"/>
      <c r="P440" s="27"/>
      <c r="Q440" s="27"/>
      <c r="R440" s="27"/>
    </row>
    <row r="441" spans="1:18">
      <c r="A441" s="28"/>
      <c r="B441" s="29"/>
      <c r="C441" s="29"/>
      <c r="D441" s="29"/>
      <c r="E441" s="29"/>
      <c r="H441" s="27"/>
      <c r="K441"/>
      <c r="P441" s="27"/>
      <c r="Q441" s="27"/>
      <c r="R441" s="27"/>
    </row>
    <row r="442" spans="1:18">
      <c r="A442" s="28"/>
      <c r="B442" s="29"/>
      <c r="C442" s="29"/>
      <c r="D442" s="29"/>
      <c r="E442" s="29"/>
      <c r="H442" s="27"/>
      <c r="K442"/>
      <c r="P442" s="27"/>
      <c r="Q442" s="27"/>
      <c r="R442" s="27"/>
    </row>
    <row r="443" spans="1:18">
      <c r="A443" s="28"/>
      <c r="B443" s="29"/>
      <c r="C443" s="29"/>
      <c r="D443" s="29"/>
      <c r="E443" s="29"/>
      <c r="H443" s="27"/>
      <c r="K443"/>
      <c r="P443" s="27"/>
      <c r="Q443" s="27"/>
      <c r="R443" s="27"/>
    </row>
    <row r="444" spans="1:18">
      <c r="A444" s="28"/>
      <c r="B444" s="29"/>
      <c r="C444" s="29"/>
      <c r="D444" s="29"/>
      <c r="E444" s="29"/>
      <c r="H444" s="27"/>
      <c r="K444"/>
      <c r="P444" s="27"/>
      <c r="Q444" s="27"/>
      <c r="R444" s="27"/>
    </row>
    <row r="445" spans="1:18">
      <c r="A445" s="28"/>
      <c r="B445" s="29"/>
      <c r="C445" s="29"/>
      <c r="D445" s="29"/>
      <c r="E445" s="29"/>
      <c r="H445" s="27"/>
      <c r="K445"/>
      <c r="P445" s="27"/>
      <c r="Q445" s="27"/>
      <c r="R445" s="27"/>
    </row>
    <row r="446" spans="1:18">
      <c r="A446" s="28"/>
      <c r="B446" s="29"/>
      <c r="C446" s="29"/>
      <c r="D446" s="29"/>
      <c r="E446" s="29"/>
      <c r="H446" s="27"/>
      <c r="K446"/>
      <c r="P446" s="27"/>
      <c r="Q446" s="27"/>
      <c r="R446" s="27"/>
    </row>
    <row r="447" spans="1:18">
      <c r="A447" s="28"/>
      <c r="B447" s="29"/>
      <c r="C447" s="29"/>
      <c r="D447" s="29"/>
      <c r="E447" s="29"/>
      <c r="H447" s="27"/>
      <c r="K447"/>
      <c r="P447" s="27"/>
      <c r="Q447" s="27"/>
      <c r="R447" s="27"/>
    </row>
    <row r="448" spans="1:18">
      <c r="A448" s="28"/>
      <c r="B448" s="29"/>
      <c r="C448" s="29"/>
      <c r="D448" s="29"/>
      <c r="E448" s="29"/>
      <c r="H448" s="27"/>
      <c r="K448"/>
      <c r="P448" s="27"/>
      <c r="Q448" s="27"/>
      <c r="R448" s="27"/>
    </row>
    <row r="449" spans="1:18">
      <c r="A449" s="28"/>
      <c r="B449" s="29"/>
      <c r="C449" s="29"/>
      <c r="D449" s="29"/>
      <c r="E449" s="29"/>
      <c r="H449" s="27"/>
      <c r="K449"/>
      <c r="P449" s="27"/>
      <c r="Q449" s="27"/>
      <c r="R449" s="27"/>
    </row>
    <row r="450" spans="1:18">
      <c r="A450" s="28"/>
      <c r="B450" s="29"/>
      <c r="C450" s="29"/>
      <c r="D450" s="29"/>
      <c r="E450" s="29"/>
      <c r="H450" s="27"/>
      <c r="K450"/>
      <c r="P450" s="27"/>
      <c r="Q450" s="27"/>
      <c r="R450" s="27"/>
    </row>
    <row r="451" spans="1:18">
      <c r="A451" s="28"/>
      <c r="B451" s="29"/>
      <c r="C451" s="29"/>
      <c r="D451" s="29"/>
      <c r="E451" s="29"/>
      <c r="H451" s="27"/>
      <c r="K451"/>
      <c r="P451" s="27"/>
      <c r="Q451" s="27"/>
      <c r="R451" s="27"/>
    </row>
    <row r="452" spans="1:18">
      <c r="A452" s="28"/>
      <c r="B452" s="29"/>
      <c r="C452" s="29"/>
      <c r="D452" s="29"/>
      <c r="E452" s="29"/>
      <c r="H452" s="27"/>
      <c r="K452"/>
      <c r="P452" s="27"/>
      <c r="Q452" s="27"/>
      <c r="R452" s="27"/>
    </row>
    <row r="453" spans="1:18">
      <c r="A453" s="28"/>
      <c r="B453" s="29"/>
      <c r="C453" s="29"/>
      <c r="D453" s="29"/>
      <c r="E453" s="29"/>
      <c r="H453" s="27"/>
      <c r="K453"/>
      <c r="P453" s="27"/>
      <c r="Q453" s="27"/>
      <c r="R453" s="27"/>
    </row>
    <row r="454" spans="1:18">
      <c r="A454" s="28"/>
      <c r="B454" s="29"/>
      <c r="C454" s="29"/>
      <c r="D454" s="29"/>
      <c r="E454" s="29"/>
      <c r="H454" s="27"/>
      <c r="K454"/>
      <c r="P454" s="27"/>
      <c r="Q454" s="27"/>
      <c r="R454" s="27"/>
    </row>
    <row r="455" spans="1:18">
      <c r="A455" s="28"/>
      <c r="B455" s="29"/>
      <c r="C455" s="29"/>
      <c r="D455" s="29"/>
      <c r="E455" s="29"/>
      <c r="H455" s="27"/>
      <c r="K455"/>
      <c r="P455" s="27"/>
      <c r="Q455" s="27"/>
      <c r="R455" s="27"/>
    </row>
    <row r="456" spans="1:18">
      <c r="A456" s="28"/>
      <c r="B456" s="29"/>
      <c r="C456" s="29"/>
      <c r="D456" s="29"/>
      <c r="E456" s="29"/>
      <c r="H456" s="27"/>
      <c r="K456"/>
      <c r="P456" s="27"/>
      <c r="Q456" s="27"/>
      <c r="R456" s="27"/>
    </row>
    <row r="457" spans="1:18">
      <c r="A457" s="28"/>
      <c r="B457" s="29"/>
      <c r="C457" s="29"/>
      <c r="D457" s="29"/>
      <c r="E457" s="29"/>
      <c r="H457" s="27"/>
      <c r="K457"/>
      <c r="P457" s="27"/>
      <c r="Q457" s="27"/>
      <c r="R457" s="27"/>
    </row>
    <row r="458" spans="1:18">
      <c r="A458" s="28"/>
      <c r="B458" s="29"/>
      <c r="C458" s="29"/>
      <c r="D458" s="29"/>
      <c r="E458" s="29"/>
      <c r="H458" s="27"/>
      <c r="K458"/>
      <c r="P458" s="27"/>
      <c r="Q458" s="27"/>
      <c r="R458" s="27"/>
    </row>
    <row r="459" spans="1:18">
      <c r="A459" s="28"/>
      <c r="B459" s="29"/>
      <c r="C459" s="29"/>
      <c r="D459" s="29"/>
      <c r="E459" s="29"/>
      <c r="H459" s="27"/>
      <c r="K459"/>
      <c r="P459" s="27"/>
      <c r="Q459" s="27"/>
      <c r="R459" s="27"/>
    </row>
    <row r="460" spans="1:18">
      <c r="A460" s="28"/>
      <c r="B460" s="29"/>
      <c r="C460" s="29"/>
      <c r="D460" s="29"/>
      <c r="E460" s="29"/>
      <c r="H460" s="27"/>
      <c r="K460"/>
      <c r="P460" s="27"/>
      <c r="Q460" s="27"/>
      <c r="R460" s="27"/>
    </row>
    <row r="461" spans="1:18">
      <c r="A461" s="28"/>
      <c r="B461" s="29"/>
      <c r="C461" s="29"/>
      <c r="D461" s="29"/>
      <c r="E461" s="29"/>
      <c r="H461" s="27"/>
      <c r="K461"/>
      <c r="P461" s="27"/>
      <c r="Q461" s="27"/>
      <c r="R461" s="27"/>
    </row>
    <row r="462" spans="1:18">
      <c r="A462" s="28"/>
      <c r="B462" s="29"/>
      <c r="C462" s="29"/>
      <c r="D462" s="29"/>
      <c r="E462" s="29"/>
      <c r="H462" s="27"/>
      <c r="K462"/>
      <c r="P462" s="27"/>
      <c r="Q462" s="27"/>
      <c r="R462" s="27"/>
    </row>
    <row r="463" spans="1:18">
      <c r="A463" s="28"/>
      <c r="B463" s="29"/>
      <c r="C463" s="29"/>
      <c r="D463" s="29"/>
      <c r="E463" s="29"/>
      <c r="H463" s="27"/>
      <c r="K463"/>
      <c r="P463" s="27"/>
      <c r="Q463" s="27"/>
      <c r="R463" s="27"/>
    </row>
    <row r="464" spans="1:18">
      <c r="A464" s="28"/>
      <c r="B464" s="29"/>
      <c r="C464" s="29"/>
      <c r="D464" s="29"/>
      <c r="E464" s="29"/>
      <c r="H464" s="27"/>
      <c r="K464"/>
      <c r="P464" s="27"/>
      <c r="Q464" s="27"/>
      <c r="R464" s="27"/>
    </row>
    <row r="465" spans="1:18">
      <c r="A465" s="28"/>
      <c r="B465" s="29"/>
      <c r="C465" s="29"/>
      <c r="D465" s="29"/>
      <c r="E465" s="29"/>
      <c r="H465" s="27"/>
      <c r="K465"/>
      <c r="P465" s="27"/>
      <c r="Q465" s="27"/>
      <c r="R465" s="27"/>
    </row>
    <row r="466" spans="1:18">
      <c r="A466" s="28"/>
      <c r="B466" s="29"/>
      <c r="C466" s="29"/>
      <c r="D466" s="29"/>
      <c r="E466" s="29"/>
      <c r="H466" s="27"/>
      <c r="K466"/>
      <c r="P466" s="27"/>
      <c r="Q466" s="27"/>
      <c r="R466" s="27"/>
    </row>
    <row r="467" spans="1:18">
      <c r="A467" s="28"/>
      <c r="B467" s="29"/>
      <c r="C467" s="29"/>
      <c r="D467" s="29"/>
      <c r="E467" s="29"/>
      <c r="H467" s="27"/>
      <c r="K467"/>
      <c r="P467" s="27"/>
      <c r="Q467" s="27"/>
      <c r="R467" s="27"/>
    </row>
    <row r="468" spans="1:18">
      <c r="A468" s="28"/>
      <c r="B468" s="29"/>
      <c r="C468" s="29"/>
      <c r="D468" s="29"/>
      <c r="E468" s="29"/>
      <c r="H468" s="27"/>
      <c r="K468"/>
      <c r="P468" s="27"/>
      <c r="Q468" s="27"/>
      <c r="R468" s="27"/>
    </row>
    <row r="469" spans="1:18">
      <c r="A469" s="28"/>
      <c r="B469" s="29"/>
      <c r="C469" s="29"/>
      <c r="D469" s="29"/>
      <c r="E469" s="29"/>
      <c r="H469" s="27"/>
      <c r="K469"/>
      <c r="P469" s="27"/>
      <c r="Q469" s="27"/>
      <c r="R469" s="27"/>
    </row>
    <row r="470" spans="1:18">
      <c r="A470" s="28"/>
      <c r="B470" s="29"/>
      <c r="C470" s="29"/>
      <c r="D470" s="29"/>
      <c r="E470" s="29"/>
      <c r="H470" s="27"/>
      <c r="K470"/>
      <c r="P470" s="27"/>
      <c r="Q470" s="27"/>
      <c r="R470" s="27"/>
    </row>
    <row r="471" spans="1:18">
      <c r="A471" s="28"/>
      <c r="B471" s="29"/>
      <c r="C471" s="29"/>
      <c r="D471" s="29"/>
      <c r="E471" s="29"/>
      <c r="H471" s="27"/>
      <c r="K471"/>
      <c r="P471" s="27"/>
      <c r="Q471" s="27"/>
      <c r="R471" s="27"/>
    </row>
    <row r="472" spans="1:18">
      <c r="A472" s="28"/>
      <c r="B472" s="29"/>
      <c r="C472" s="29"/>
      <c r="D472" s="29"/>
      <c r="E472" s="29"/>
      <c r="H472" s="27"/>
      <c r="K472"/>
      <c r="P472" s="27"/>
      <c r="Q472" s="27"/>
      <c r="R472" s="27"/>
    </row>
    <row r="473" spans="1:18">
      <c r="A473" s="28"/>
      <c r="B473" s="29"/>
      <c r="C473" s="29"/>
      <c r="D473" s="29"/>
      <c r="E473" s="29"/>
      <c r="H473" s="27"/>
      <c r="K473"/>
      <c r="P473" s="27"/>
      <c r="Q473" s="27"/>
      <c r="R473" s="27"/>
    </row>
    <row r="474" spans="1:18">
      <c r="A474" s="28"/>
      <c r="B474" s="29"/>
      <c r="C474" s="29"/>
      <c r="D474" s="29"/>
      <c r="E474" s="29"/>
      <c r="H474" s="27"/>
      <c r="K474"/>
      <c r="P474" s="27"/>
      <c r="Q474" s="27"/>
      <c r="R474" s="27"/>
    </row>
    <row r="475" spans="1:18">
      <c r="A475" s="28"/>
      <c r="B475" s="29"/>
      <c r="C475" s="29"/>
      <c r="D475" s="29"/>
      <c r="E475" s="29"/>
      <c r="H475" s="27"/>
      <c r="K475"/>
      <c r="P475" s="27"/>
      <c r="Q475" s="27"/>
      <c r="R475" s="27"/>
    </row>
    <row r="476" spans="1:18">
      <c r="A476" s="28"/>
      <c r="B476" s="29"/>
      <c r="C476" s="29"/>
      <c r="D476" s="29"/>
      <c r="E476" s="29"/>
      <c r="H476" s="27"/>
      <c r="K476"/>
      <c r="P476" s="27"/>
      <c r="Q476" s="27"/>
      <c r="R476" s="27"/>
    </row>
    <row r="477" spans="1:18">
      <c r="A477" s="28"/>
      <c r="B477" s="29"/>
      <c r="C477" s="29"/>
      <c r="D477" s="29"/>
      <c r="E477" s="29"/>
      <c r="H477" s="27"/>
      <c r="K477"/>
      <c r="P477" s="27"/>
      <c r="Q477" s="27"/>
      <c r="R477" s="27"/>
    </row>
    <row r="478" spans="1:18">
      <c r="A478" s="28"/>
      <c r="B478" s="29"/>
      <c r="C478" s="29"/>
      <c r="D478" s="29"/>
      <c r="E478" s="29"/>
      <c r="H478" s="27"/>
      <c r="K478"/>
      <c r="P478" s="27"/>
      <c r="Q478" s="27"/>
      <c r="R478" s="27"/>
    </row>
    <row r="479" spans="1:18">
      <c r="A479" s="28"/>
      <c r="B479" s="29"/>
      <c r="C479" s="29"/>
      <c r="D479" s="29"/>
      <c r="E479" s="29"/>
      <c r="H479" s="27"/>
      <c r="K479"/>
      <c r="P479" s="27"/>
      <c r="Q479" s="27"/>
      <c r="R479" s="27"/>
    </row>
    <row r="480" spans="1:18">
      <c r="A480" s="28"/>
      <c r="B480" s="29"/>
      <c r="C480" s="29"/>
      <c r="D480" s="29"/>
      <c r="E480" s="29"/>
      <c r="H480" s="27"/>
      <c r="K480"/>
      <c r="P480" s="27"/>
      <c r="Q480" s="27"/>
      <c r="R480" s="27"/>
    </row>
    <row r="481" spans="1:18">
      <c r="A481" s="28"/>
      <c r="B481" s="29"/>
      <c r="C481" s="29"/>
      <c r="D481" s="29"/>
      <c r="E481" s="29"/>
      <c r="H481" s="27"/>
      <c r="K481"/>
      <c r="P481" s="27"/>
      <c r="Q481" s="27"/>
      <c r="R481" s="27"/>
    </row>
    <row r="482" spans="1:18">
      <c r="A482" s="28"/>
      <c r="B482" s="29"/>
      <c r="C482" s="29"/>
      <c r="D482" s="29"/>
      <c r="E482" s="29"/>
      <c r="H482" s="27"/>
      <c r="K482"/>
      <c r="P482" s="27"/>
      <c r="Q482" s="27"/>
      <c r="R482" s="27"/>
    </row>
    <row r="483" spans="1:18">
      <c r="A483" s="28"/>
      <c r="B483" s="29"/>
      <c r="C483" s="29"/>
      <c r="D483" s="29"/>
      <c r="E483" s="29"/>
      <c r="H483" s="27"/>
      <c r="K483"/>
      <c r="P483" s="27"/>
      <c r="Q483" s="27"/>
      <c r="R483" s="27"/>
    </row>
    <row r="484" spans="1:18">
      <c r="A484" s="28"/>
      <c r="B484" s="29"/>
      <c r="C484" s="29"/>
      <c r="D484" s="29"/>
      <c r="E484" s="29"/>
      <c r="H484" s="27"/>
      <c r="K484"/>
      <c r="P484" s="27"/>
      <c r="Q484" s="27"/>
      <c r="R484" s="27"/>
    </row>
    <row r="485" spans="1:18">
      <c r="A485" s="28"/>
      <c r="B485" s="29"/>
      <c r="C485" s="29"/>
      <c r="D485" s="29"/>
      <c r="E485" s="29"/>
      <c r="H485" s="27"/>
      <c r="K485"/>
      <c r="P485" s="27"/>
      <c r="Q485" s="27"/>
      <c r="R485" s="27"/>
    </row>
    <row r="486" spans="1:18">
      <c r="A486" s="28"/>
      <c r="B486" s="29"/>
      <c r="C486" s="29"/>
      <c r="D486" s="29"/>
      <c r="E486" s="29"/>
      <c r="H486" s="27"/>
      <c r="K486"/>
      <c r="P486" s="27"/>
      <c r="Q486" s="27"/>
      <c r="R486" s="27"/>
    </row>
    <row r="487" spans="1:18">
      <c r="A487" s="28"/>
      <c r="B487" s="29"/>
      <c r="C487" s="29"/>
      <c r="D487" s="29"/>
      <c r="E487" s="29"/>
      <c r="H487" s="27"/>
      <c r="K487"/>
      <c r="P487" s="27"/>
      <c r="Q487" s="27"/>
      <c r="R487" s="27"/>
    </row>
    <row r="488" spans="1:18">
      <c r="A488" s="28"/>
      <c r="B488" s="29"/>
      <c r="C488" s="29"/>
      <c r="D488" s="29"/>
      <c r="E488" s="29"/>
      <c r="H488" s="27"/>
      <c r="K488"/>
      <c r="P488" s="27"/>
      <c r="Q488" s="27"/>
      <c r="R488" s="27"/>
    </row>
    <row r="489" spans="1:18">
      <c r="A489" s="28"/>
      <c r="B489" s="29"/>
      <c r="C489" s="29"/>
      <c r="D489" s="29"/>
      <c r="E489" s="29"/>
      <c r="H489" s="27"/>
      <c r="K489"/>
      <c r="P489" s="27"/>
      <c r="Q489" s="27"/>
      <c r="R489" s="27"/>
    </row>
    <row r="490" spans="1:18">
      <c r="A490" s="28"/>
      <c r="B490" s="29"/>
      <c r="C490" s="29"/>
      <c r="D490" s="29"/>
      <c r="E490" s="29"/>
      <c r="H490" s="27"/>
      <c r="K490"/>
      <c r="P490" s="27"/>
      <c r="Q490" s="27"/>
      <c r="R490" s="27"/>
    </row>
    <row r="491" spans="1:18">
      <c r="A491" s="28"/>
      <c r="B491" s="29"/>
      <c r="C491" s="29"/>
      <c r="D491" s="29"/>
      <c r="E491" s="29"/>
      <c r="H491" s="27"/>
      <c r="K491"/>
      <c r="P491" s="27"/>
      <c r="Q491" s="27"/>
      <c r="R491" s="27"/>
    </row>
    <row r="492" spans="1:18">
      <c r="A492" s="28"/>
      <c r="B492" s="29"/>
      <c r="C492" s="29"/>
      <c r="D492" s="29"/>
      <c r="E492" s="29"/>
      <c r="H492" s="27"/>
      <c r="K492"/>
      <c r="P492" s="27"/>
      <c r="Q492" s="27"/>
      <c r="R492" s="27"/>
    </row>
    <row r="493" spans="1:18">
      <c r="A493" s="28"/>
      <c r="B493" s="29"/>
      <c r="C493" s="29"/>
      <c r="D493" s="29"/>
      <c r="E493" s="29"/>
      <c r="H493" s="27"/>
      <c r="K493"/>
      <c r="P493" s="27"/>
      <c r="Q493" s="27"/>
      <c r="R493" s="27"/>
    </row>
    <row r="494" spans="1:18">
      <c r="A494" s="28"/>
      <c r="B494" s="29"/>
      <c r="C494" s="29"/>
      <c r="D494" s="29"/>
      <c r="E494" s="29"/>
      <c r="H494" s="27"/>
      <c r="K494"/>
      <c r="P494" s="27"/>
      <c r="Q494" s="27"/>
      <c r="R494" s="27"/>
    </row>
    <row r="495" spans="1:18">
      <c r="A495" s="28"/>
      <c r="B495" s="29"/>
      <c r="C495" s="29"/>
      <c r="D495" s="29"/>
      <c r="E495" s="29"/>
      <c r="H495" s="27"/>
      <c r="K495"/>
      <c r="P495" s="27"/>
      <c r="Q495" s="27"/>
      <c r="R495" s="27"/>
    </row>
    <row r="496" spans="1:18">
      <c r="A496" s="28"/>
      <c r="B496" s="29"/>
      <c r="C496" s="29"/>
      <c r="D496" s="29"/>
      <c r="E496" s="29"/>
      <c r="H496" s="27"/>
      <c r="K496"/>
      <c r="P496" s="27"/>
      <c r="Q496" s="27"/>
      <c r="R496" s="27"/>
    </row>
    <row r="497" spans="1:18">
      <c r="A497" s="28"/>
      <c r="B497" s="29"/>
      <c r="C497" s="29"/>
      <c r="D497" s="29"/>
      <c r="E497" s="29"/>
      <c r="H497" s="27"/>
      <c r="K497"/>
      <c r="P497" s="27"/>
      <c r="Q497" s="27"/>
      <c r="R497" s="27"/>
    </row>
    <row r="498" spans="1:18">
      <c r="A498" s="28"/>
      <c r="B498" s="29"/>
      <c r="C498" s="29"/>
      <c r="D498" s="29"/>
      <c r="E498" s="29"/>
      <c r="H498" s="27"/>
      <c r="K498"/>
      <c r="P498" s="27"/>
      <c r="Q498" s="27"/>
      <c r="R498" s="27"/>
    </row>
    <row r="499" spans="1:18">
      <c r="A499" s="28"/>
      <c r="B499" s="29"/>
      <c r="C499" s="29"/>
      <c r="D499" s="29"/>
      <c r="E499" s="29"/>
      <c r="H499" s="27"/>
      <c r="K499"/>
      <c r="P499" s="27"/>
      <c r="Q499" s="27"/>
      <c r="R499" s="27"/>
    </row>
    <row r="500" spans="1:18">
      <c r="A500" s="28"/>
      <c r="B500" s="29"/>
      <c r="C500" s="29"/>
      <c r="D500" s="29"/>
      <c r="E500" s="29"/>
      <c r="H500" s="27"/>
      <c r="K500"/>
      <c r="P500" s="27"/>
      <c r="Q500" s="27"/>
      <c r="R500" s="27"/>
    </row>
    <row r="501" spans="1:18">
      <c r="A501" s="28"/>
      <c r="B501" s="29"/>
      <c r="C501" s="29"/>
      <c r="D501" s="29"/>
      <c r="E501" s="29"/>
      <c r="H501" s="27"/>
      <c r="K501"/>
      <c r="P501" s="27"/>
      <c r="Q501" s="27"/>
      <c r="R501" s="27"/>
    </row>
    <row r="502" spans="1:18">
      <c r="A502" s="28"/>
      <c r="B502" s="29"/>
      <c r="C502" s="29"/>
      <c r="D502" s="29"/>
      <c r="E502" s="29"/>
      <c r="H502" s="27"/>
      <c r="K502"/>
      <c r="P502" s="27"/>
      <c r="Q502" s="27"/>
      <c r="R502" s="27"/>
    </row>
    <row r="503" spans="1:18">
      <c r="A503" s="28"/>
      <c r="B503" s="29"/>
      <c r="C503" s="29"/>
      <c r="D503" s="29"/>
      <c r="E503" s="29"/>
      <c r="H503" s="27"/>
      <c r="K503"/>
      <c r="P503" s="27"/>
      <c r="Q503" s="27"/>
      <c r="R503" s="27"/>
    </row>
    <row r="504" spans="1:18">
      <c r="A504" s="28"/>
      <c r="B504" s="29"/>
      <c r="C504" s="29"/>
      <c r="D504" s="29"/>
      <c r="E504" s="29"/>
      <c r="H504" s="27"/>
      <c r="K504"/>
      <c r="P504" s="27"/>
      <c r="Q504" s="27"/>
      <c r="R504" s="27"/>
    </row>
    <row r="505" spans="1:18">
      <c r="A505" s="28"/>
      <c r="B505" s="29"/>
      <c r="C505" s="29"/>
      <c r="D505" s="29"/>
      <c r="E505" s="29"/>
      <c r="H505" s="27"/>
      <c r="K505"/>
      <c r="P505" s="27"/>
      <c r="Q505" s="27"/>
      <c r="R505" s="27"/>
    </row>
    <row r="506" spans="1:18">
      <c r="A506" s="28"/>
      <c r="B506" s="29"/>
      <c r="C506" s="29"/>
      <c r="D506" s="29"/>
      <c r="E506" s="29"/>
      <c r="H506" s="27"/>
      <c r="K506"/>
      <c r="P506" s="27"/>
      <c r="Q506" s="27"/>
      <c r="R506" s="27"/>
    </row>
    <row r="507" spans="1:18">
      <c r="A507" s="28"/>
      <c r="B507" s="29"/>
      <c r="C507" s="29"/>
      <c r="D507" s="29"/>
      <c r="E507" s="29"/>
      <c r="H507" s="27"/>
      <c r="K507"/>
      <c r="P507" s="27"/>
      <c r="Q507" s="27"/>
      <c r="R507" s="27"/>
    </row>
    <row r="508" spans="1:18">
      <c r="A508" s="28"/>
      <c r="B508" s="29"/>
      <c r="C508" s="29"/>
      <c r="D508" s="29"/>
      <c r="E508" s="29"/>
      <c r="H508" s="27"/>
      <c r="K508"/>
      <c r="P508" s="27"/>
      <c r="Q508" s="27"/>
      <c r="R508" s="27"/>
    </row>
    <row r="509" spans="1:18">
      <c r="A509" s="28"/>
      <c r="B509" s="29"/>
      <c r="C509" s="29"/>
      <c r="D509" s="29"/>
      <c r="E509" s="29"/>
      <c r="H509" s="27"/>
      <c r="K509"/>
      <c r="P509" s="27"/>
      <c r="Q509" s="27"/>
      <c r="R509" s="27"/>
    </row>
    <row r="510" spans="1:18">
      <c r="A510" s="28"/>
      <c r="B510" s="29"/>
      <c r="C510" s="29"/>
      <c r="D510" s="29"/>
      <c r="E510" s="29"/>
      <c r="H510" s="27"/>
      <c r="K510"/>
      <c r="P510" s="27"/>
      <c r="Q510" s="27"/>
      <c r="R510" s="27"/>
    </row>
    <row r="511" spans="1:18">
      <c r="A511" s="28"/>
      <c r="B511" s="29"/>
      <c r="C511" s="29"/>
      <c r="D511" s="29"/>
      <c r="E511" s="29"/>
      <c r="H511" s="27"/>
      <c r="K511"/>
      <c r="P511" s="27"/>
      <c r="Q511" s="27"/>
      <c r="R511" s="27"/>
    </row>
    <row r="512" spans="1:18">
      <c r="A512" s="28"/>
      <c r="B512" s="29"/>
      <c r="C512" s="29"/>
      <c r="D512" s="29"/>
      <c r="E512" s="29"/>
      <c r="H512" s="27"/>
      <c r="K512"/>
      <c r="P512" s="27"/>
      <c r="Q512" s="27"/>
      <c r="R512" s="27"/>
    </row>
    <row r="513" spans="1:18">
      <c r="A513" s="28"/>
      <c r="B513" s="29"/>
      <c r="C513" s="29"/>
      <c r="D513" s="29"/>
      <c r="E513" s="29"/>
      <c r="H513" s="27"/>
      <c r="K513"/>
      <c r="P513" s="27"/>
      <c r="Q513" s="27"/>
      <c r="R513" s="27"/>
    </row>
    <row r="514" spans="1:18">
      <c r="A514" s="28"/>
      <c r="B514" s="29"/>
      <c r="C514" s="29"/>
      <c r="D514" s="29"/>
      <c r="E514" s="29"/>
      <c r="H514" s="27"/>
      <c r="K514"/>
      <c r="P514" s="27"/>
      <c r="Q514" s="27"/>
      <c r="R514" s="27"/>
    </row>
    <row r="515" spans="1:18">
      <c r="A515" s="28"/>
      <c r="B515" s="29"/>
      <c r="C515" s="29"/>
      <c r="D515" s="29"/>
      <c r="E515" s="29"/>
      <c r="H515" s="27"/>
      <c r="K515"/>
      <c r="P515" s="27"/>
      <c r="Q515" s="27"/>
      <c r="R515" s="27"/>
    </row>
    <row r="516" spans="1:18">
      <c r="A516" s="28"/>
      <c r="B516" s="29"/>
      <c r="C516" s="29"/>
      <c r="D516" s="29"/>
      <c r="E516" s="29"/>
      <c r="H516" s="27"/>
      <c r="K516"/>
      <c r="P516" s="27"/>
      <c r="Q516" s="27"/>
      <c r="R516" s="27"/>
    </row>
    <row r="517" spans="1:18">
      <c r="A517" s="28"/>
      <c r="B517" s="29"/>
      <c r="C517" s="29"/>
      <c r="D517" s="29"/>
      <c r="E517" s="29"/>
      <c r="H517" s="27"/>
      <c r="K517"/>
      <c r="P517" s="27"/>
      <c r="Q517" s="27"/>
      <c r="R517" s="27"/>
    </row>
    <row r="518" spans="1:18">
      <c r="A518" s="28"/>
      <c r="B518" s="29"/>
      <c r="C518" s="29"/>
      <c r="D518" s="29"/>
      <c r="E518" s="29"/>
      <c r="H518" s="27"/>
      <c r="K518"/>
      <c r="P518" s="27"/>
      <c r="Q518" s="27"/>
      <c r="R518" s="27"/>
    </row>
    <row r="519" spans="1:18">
      <c r="A519" s="28"/>
      <c r="B519" s="29"/>
      <c r="C519" s="29"/>
      <c r="D519" s="29"/>
      <c r="E519" s="29"/>
      <c r="H519" s="27"/>
      <c r="K519"/>
      <c r="P519" s="27"/>
      <c r="Q519" s="27"/>
      <c r="R519" s="27"/>
    </row>
    <row r="520" spans="1:18">
      <c r="A520" s="28"/>
      <c r="B520" s="29"/>
      <c r="C520" s="29"/>
      <c r="D520" s="29"/>
      <c r="E520" s="29"/>
      <c r="H520" s="27"/>
      <c r="K520"/>
      <c r="P520" s="27"/>
      <c r="Q520" s="27"/>
      <c r="R520" s="27"/>
    </row>
    <row r="521" spans="1:18">
      <c r="A521" s="28"/>
      <c r="B521" s="29"/>
      <c r="C521" s="29"/>
      <c r="D521" s="29"/>
      <c r="E521" s="29"/>
      <c r="H521" s="27"/>
      <c r="K521"/>
      <c r="P521" s="27"/>
      <c r="Q521" s="27"/>
      <c r="R521" s="27"/>
    </row>
    <row r="522" spans="1:18">
      <c r="A522" s="28"/>
      <c r="B522" s="29"/>
      <c r="C522" s="29"/>
      <c r="D522" s="29"/>
      <c r="E522" s="29"/>
      <c r="H522" s="27"/>
      <c r="K522"/>
      <c r="P522" s="27"/>
      <c r="Q522" s="27"/>
      <c r="R522" s="27"/>
    </row>
    <row r="523" spans="1:18">
      <c r="A523" s="28"/>
      <c r="B523" s="29"/>
      <c r="C523" s="29"/>
      <c r="D523" s="29"/>
      <c r="E523" s="29"/>
      <c r="H523" s="27"/>
      <c r="K523"/>
      <c r="P523" s="27"/>
      <c r="Q523" s="27"/>
      <c r="R523" s="27"/>
    </row>
    <row r="524" spans="1:18">
      <c r="A524" s="28"/>
      <c r="B524" s="29"/>
      <c r="C524" s="29"/>
      <c r="D524" s="29"/>
      <c r="E524" s="29"/>
      <c r="H524" s="27"/>
      <c r="K524"/>
      <c r="P524" s="27"/>
      <c r="Q524" s="27"/>
      <c r="R524" s="27"/>
    </row>
    <row r="525" spans="1:18">
      <c r="A525" s="28"/>
      <c r="B525" s="29"/>
      <c r="C525" s="29"/>
      <c r="D525" s="29"/>
      <c r="E525" s="29"/>
      <c r="H525" s="27"/>
      <c r="K525"/>
      <c r="P525" s="27"/>
      <c r="Q525" s="27"/>
      <c r="R525" s="27"/>
    </row>
    <row r="526" spans="1:18">
      <c r="A526" s="28"/>
      <c r="B526" s="29"/>
      <c r="C526" s="29"/>
      <c r="D526" s="29"/>
      <c r="E526" s="29"/>
      <c r="H526" s="27"/>
      <c r="K526"/>
      <c r="P526" s="27"/>
      <c r="Q526" s="27"/>
      <c r="R526" s="27"/>
    </row>
    <row r="527" spans="1:18">
      <c r="A527" s="28"/>
      <c r="B527" s="29"/>
      <c r="C527" s="29"/>
      <c r="D527" s="29"/>
      <c r="E527" s="29"/>
      <c r="H527" s="27"/>
      <c r="K527"/>
      <c r="P527" s="27"/>
      <c r="Q527" s="27"/>
      <c r="R527" s="27"/>
    </row>
    <row r="528" spans="1:18">
      <c r="A528" s="28"/>
      <c r="B528" s="29"/>
      <c r="C528" s="29"/>
      <c r="D528" s="29"/>
      <c r="E528" s="29"/>
      <c r="H528" s="27"/>
      <c r="K528"/>
      <c r="P528" s="27"/>
      <c r="Q528" s="27"/>
      <c r="R528" s="27"/>
    </row>
    <row r="529" spans="1:18">
      <c r="A529" s="28"/>
      <c r="B529" s="29"/>
      <c r="C529" s="29"/>
      <c r="D529" s="29"/>
      <c r="E529" s="29"/>
      <c r="H529" s="27"/>
      <c r="K529"/>
      <c r="P529" s="27"/>
      <c r="Q529" s="27"/>
      <c r="R529" s="27"/>
    </row>
    <row r="530" spans="1:18">
      <c r="A530" s="28"/>
      <c r="B530" s="29"/>
      <c r="C530" s="29"/>
      <c r="D530" s="29"/>
      <c r="E530" s="29"/>
      <c r="H530" s="27"/>
      <c r="K530"/>
      <c r="P530" s="27"/>
      <c r="Q530" s="27"/>
      <c r="R530" s="27"/>
    </row>
    <row r="531" spans="1:18">
      <c r="A531" s="28"/>
      <c r="B531" s="29"/>
      <c r="C531" s="29"/>
      <c r="D531" s="29"/>
      <c r="E531" s="29"/>
      <c r="H531" s="27"/>
      <c r="K531"/>
      <c r="P531" s="27"/>
      <c r="Q531" s="27"/>
      <c r="R531" s="27"/>
    </row>
    <row r="532" spans="1:18">
      <c r="A532" s="28"/>
      <c r="B532" s="29"/>
      <c r="C532" s="29"/>
      <c r="D532" s="29"/>
      <c r="E532" s="29"/>
      <c r="H532" s="27"/>
      <c r="K532"/>
      <c r="P532" s="27"/>
      <c r="Q532" s="27"/>
      <c r="R532" s="27"/>
    </row>
    <row r="533" spans="1:18">
      <c r="A533" s="28"/>
      <c r="B533" s="29"/>
      <c r="C533" s="29"/>
      <c r="D533" s="29"/>
      <c r="E533" s="29"/>
      <c r="H533" s="27"/>
      <c r="K533"/>
      <c r="P533" s="27"/>
      <c r="Q533" s="27"/>
      <c r="R533" s="27"/>
    </row>
    <row r="534" spans="1:18">
      <c r="A534" s="28"/>
      <c r="B534" s="29"/>
      <c r="C534" s="29"/>
      <c r="D534" s="29"/>
      <c r="E534" s="29"/>
      <c r="H534" s="27"/>
      <c r="K534"/>
      <c r="P534" s="27"/>
      <c r="Q534" s="27"/>
      <c r="R534" s="27"/>
    </row>
    <row r="535" spans="1:18">
      <c r="A535" s="28"/>
      <c r="B535" s="29"/>
      <c r="C535" s="29"/>
      <c r="D535" s="29"/>
      <c r="E535" s="29"/>
      <c r="H535" s="27"/>
      <c r="K535"/>
      <c r="P535" s="27"/>
      <c r="Q535" s="27"/>
      <c r="R535" s="27"/>
    </row>
    <row r="536" spans="1:18">
      <c r="A536" s="28"/>
      <c r="B536" s="29"/>
      <c r="C536" s="29"/>
      <c r="D536" s="29"/>
      <c r="E536" s="29"/>
      <c r="H536" s="27"/>
      <c r="K536"/>
      <c r="P536" s="27"/>
      <c r="Q536" s="27"/>
      <c r="R536" s="27"/>
    </row>
    <row r="537" spans="1:18">
      <c r="A537" s="28"/>
      <c r="B537" s="29"/>
      <c r="C537" s="29"/>
      <c r="D537" s="29"/>
      <c r="E537" s="29"/>
      <c r="H537" s="27"/>
      <c r="K537"/>
      <c r="P537" s="27"/>
      <c r="Q537" s="27"/>
      <c r="R537" s="27"/>
    </row>
    <row r="538" spans="1:18">
      <c r="A538" s="28"/>
      <c r="B538" s="29"/>
      <c r="C538" s="29"/>
      <c r="D538" s="29"/>
      <c r="E538" s="29"/>
      <c r="H538" s="27"/>
      <c r="K538"/>
      <c r="P538" s="27"/>
      <c r="Q538" s="27"/>
      <c r="R538" s="27"/>
    </row>
    <row r="539" spans="1:18">
      <c r="A539" s="28"/>
      <c r="B539" s="29"/>
      <c r="C539" s="29"/>
      <c r="D539" s="29"/>
      <c r="E539" s="29"/>
      <c r="H539" s="27"/>
      <c r="K539"/>
      <c r="P539" s="27"/>
      <c r="Q539" s="27"/>
      <c r="R539" s="27"/>
    </row>
    <row r="540" spans="1:18">
      <c r="A540" s="28"/>
      <c r="B540" s="29"/>
      <c r="C540" s="29"/>
      <c r="D540" s="29"/>
      <c r="E540" s="29"/>
      <c r="H540" s="27"/>
      <c r="K540"/>
      <c r="P540" s="27"/>
      <c r="Q540" s="27"/>
      <c r="R540" s="27"/>
    </row>
    <row r="541" spans="1:18">
      <c r="A541" s="28"/>
      <c r="B541" s="29"/>
      <c r="C541" s="29"/>
      <c r="D541" s="29"/>
      <c r="E541" s="29"/>
      <c r="H541" s="27"/>
      <c r="K541"/>
      <c r="P541" s="27"/>
      <c r="Q541" s="27"/>
      <c r="R541" s="27"/>
    </row>
    <row r="542" spans="1:18">
      <c r="A542" s="28"/>
      <c r="B542" s="29"/>
      <c r="C542" s="29"/>
      <c r="D542" s="29"/>
      <c r="E542" s="29"/>
      <c r="H542" s="27"/>
      <c r="K542"/>
      <c r="P542" s="27"/>
      <c r="Q542" s="27"/>
      <c r="R542" s="27"/>
    </row>
    <row r="543" spans="1:18">
      <c r="A543" s="28"/>
      <c r="B543" s="29"/>
      <c r="C543" s="29"/>
      <c r="D543" s="29"/>
      <c r="E543" s="29"/>
      <c r="H543" s="27"/>
      <c r="K543"/>
      <c r="P543" s="27"/>
      <c r="Q543" s="27"/>
      <c r="R543" s="27"/>
    </row>
    <row r="544" spans="1:18">
      <c r="A544" s="28"/>
      <c r="B544" s="29"/>
      <c r="C544" s="29"/>
      <c r="D544" s="29"/>
      <c r="E544" s="29"/>
      <c r="H544" s="27"/>
      <c r="K544"/>
      <c r="P544" s="27"/>
      <c r="Q544" s="27"/>
      <c r="R544" s="27"/>
    </row>
    <row r="545" spans="1:18">
      <c r="A545" s="28"/>
      <c r="B545" s="29"/>
      <c r="C545" s="29"/>
      <c r="D545" s="29"/>
      <c r="E545" s="29"/>
      <c r="H545" s="27"/>
      <c r="K545"/>
      <c r="P545" s="27"/>
      <c r="Q545" s="27"/>
      <c r="R545" s="27"/>
    </row>
    <row r="546" spans="1:18">
      <c r="A546" s="28"/>
      <c r="B546" s="29"/>
      <c r="C546" s="29"/>
      <c r="D546" s="29"/>
      <c r="E546" s="29"/>
      <c r="H546" s="27"/>
      <c r="K546"/>
      <c r="P546" s="27"/>
      <c r="Q546" s="27"/>
      <c r="R546" s="27"/>
    </row>
    <row r="547" spans="1:18">
      <c r="A547" s="28"/>
      <c r="B547" s="29"/>
      <c r="C547" s="29"/>
      <c r="D547" s="29"/>
      <c r="E547" s="29"/>
      <c r="H547" s="27"/>
      <c r="K547"/>
      <c r="P547" s="27"/>
      <c r="Q547" s="27"/>
      <c r="R547" s="27"/>
    </row>
    <row r="548" spans="1:18">
      <c r="A548" s="28"/>
      <c r="B548" s="29"/>
      <c r="C548" s="29"/>
      <c r="D548" s="29"/>
      <c r="E548" s="29"/>
      <c r="H548" s="27"/>
      <c r="K548"/>
      <c r="P548" s="27"/>
      <c r="Q548" s="27"/>
      <c r="R548" s="27"/>
    </row>
    <row r="549" spans="1:18">
      <c r="A549" s="28"/>
      <c r="B549" s="29"/>
      <c r="C549" s="29"/>
      <c r="D549" s="29"/>
      <c r="E549" s="29"/>
      <c r="H549" s="27"/>
      <c r="K549"/>
      <c r="P549" s="27"/>
      <c r="Q549" s="27"/>
      <c r="R549" s="27"/>
    </row>
    <row r="550" spans="1:18">
      <c r="A550" s="28"/>
      <c r="B550" s="29"/>
      <c r="C550" s="29"/>
      <c r="D550" s="29"/>
      <c r="E550" s="29"/>
      <c r="H550" s="27"/>
      <c r="K550"/>
      <c r="P550" s="27"/>
      <c r="Q550" s="27"/>
      <c r="R550" s="27"/>
    </row>
    <row r="551" spans="1:18">
      <c r="A551" s="28"/>
      <c r="B551" s="29"/>
      <c r="C551" s="29"/>
      <c r="D551" s="29"/>
      <c r="E551" s="29"/>
      <c r="H551" s="27"/>
      <c r="K551"/>
      <c r="P551" s="27"/>
      <c r="Q551" s="27"/>
      <c r="R551" s="27"/>
    </row>
    <row r="552" spans="1:18">
      <c r="A552" s="28"/>
      <c r="B552" s="29"/>
      <c r="C552" s="29"/>
      <c r="D552" s="29"/>
      <c r="E552" s="29"/>
      <c r="H552" s="27"/>
      <c r="K552"/>
      <c r="P552" s="27"/>
      <c r="Q552" s="27"/>
      <c r="R552" s="27"/>
    </row>
    <row r="553" spans="1:18">
      <c r="A553" s="28"/>
      <c r="B553" s="29"/>
      <c r="C553" s="29"/>
      <c r="D553" s="29"/>
      <c r="E553" s="29"/>
      <c r="H553" s="27"/>
      <c r="K553"/>
      <c r="P553" s="27"/>
      <c r="Q553" s="27"/>
      <c r="R553" s="27"/>
    </row>
    <row r="554" spans="1:18">
      <c r="A554" s="28"/>
      <c r="B554" s="29"/>
      <c r="C554" s="29"/>
      <c r="D554" s="29"/>
      <c r="E554" s="29"/>
      <c r="H554" s="27"/>
      <c r="K554"/>
      <c r="P554" s="27"/>
      <c r="Q554" s="27"/>
      <c r="R554" s="27"/>
    </row>
    <row r="555" spans="1:18">
      <c r="A555" s="28"/>
      <c r="B555" s="29"/>
      <c r="C555" s="29"/>
      <c r="D555" s="29"/>
      <c r="E555" s="29"/>
      <c r="H555" s="27"/>
      <c r="K555"/>
      <c r="P555" s="27"/>
      <c r="Q555" s="27"/>
      <c r="R555" s="27"/>
    </row>
    <row r="556" spans="1:18">
      <c r="A556" s="28"/>
      <c r="B556" s="29"/>
      <c r="C556" s="29"/>
      <c r="D556" s="29"/>
      <c r="E556" s="29"/>
      <c r="H556" s="27"/>
      <c r="K556"/>
      <c r="P556" s="27"/>
      <c r="Q556" s="27"/>
      <c r="R556" s="27"/>
    </row>
    <row r="557" spans="1:18">
      <c r="A557" s="28"/>
      <c r="B557" s="29"/>
      <c r="C557" s="29"/>
      <c r="D557" s="29"/>
      <c r="E557" s="29"/>
      <c r="H557" s="27"/>
      <c r="K557"/>
      <c r="P557" s="27"/>
      <c r="Q557" s="27"/>
      <c r="R557" s="27"/>
    </row>
    <row r="558" spans="1:18">
      <c r="A558" s="28"/>
      <c r="B558" s="29"/>
      <c r="C558" s="29"/>
      <c r="D558" s="29"/>
      <c r="E558" s="29"/>
      <c r="H558" s="27"/>
      <c r="K558"/>
      <c r="P558" s="27"/>
      <c r="Q558" s="27"/>
      <c r="R558" s="27"/>
    </row>
    <row r="559" spans="1:18">
      <c r="A559" s="28"/>
      <c r="B559" s="29"/>
      <c r="C559" s="29"/>
      <c r="D559" s="29"/>
      <c r="E559" s="29"/>
      <c r="H559" s="27"/>
      <c r="K559"/>
      <c r="P559" s="27"/>
      <c r="Q559" s="27"/>
      <c r="R559" s="27"/>
    </row>
    <row r="560" spans="1:18">
      <c r="A560" s="28"/>
      <c r="B560" s="29"/>
      <c r="C560" s="29"/>
      <c r="D560" s="29"/>
      <c r="E560" s="29"/>
      <c r="H560" s="27"/>
      <c r="K560"/>
      <c r="P560" s="27"/>
      <c r="Q560" s="27"/>
      <c r="R560" s="27"/>
    </row>
    <row r="561" spans="1:18">
      <c r="A561" s="28"/>
      <c r="B561" s="29"/>
      <c r="C561" s="29"/>
      <c r="D561" s="29"/>
      <c r="E561" s="29"/>
      <c r="H561" s="27"/>
      <c r="K561"/>
      <c r="P561" s="27"/>
      <c r="Q561" s="27"/>
      <c r="R561" s="27"/>
    </row>
    <row r="562" spans="1:18">
      <c r="A562" s="28"/>
      <c r="B562" s="29"/>
      <c r="C562" s="29"/>
      <c r="D562" s="29"/>
      <c r="E562" s="29"/>
      <c r="H562" s="27"/>
      <c r="K562"/>
      <c r="P562" s="27"/>
      <c r="Q562" s="27"/>
      <c r="R562" s="27"/>
    </row>
    <row r="563" spans="1:18">
      <c r="A563" s="28"/>
      <c r="B563" s="29"/>
      <c r="C563" s="29"/>
      <c r="D563" s="29"/>
      <c r="E563" s="29"/>
      <c r="H563" s="27"/>
      <c r="K563"/>
      <c r="P563" s="27"/>
      <c r="Q563" s="27"/>
      <c r="R563" s="27"/>
    </row>
    <row r="564" spans="1:18">
      <c r="A564" s="28"/>
      <c r="B564" s="29"/>
      <c r="C564" s="29"/>
      <c r="D564" s="29"/>
      <c r="E564" s="29"/>
      <c r="H564" s="27"/>
      <c r="K564"/>
      <c r="P564" s="27"/>
      <c r="Q564" s="27"/>
      <c r="R564" s="27"/>
    </row>
    <row r="565" spans="1:18">
      <c r="A565" s="28"/>
      <c r="B565" s="29"/>
      <c r="C565" s="29"/>
      <c r="D565" s="29"/>
      <c r="E565" s="29"/>
      <c r="H565" s="27"/>
      <c r="K565"/>
      <c r="P565" s="27"/>
      <c r="Q565" s="27"/>
      <c r="R565" s="27"/>
    </row>
    <row r="566" spans="1:18">
      <c r="A566" s="28"/>
      <c r="B566" s="29"/>
      <c r="C566" s="29"/>
      <c r="D566" s="29"/>
      <c r="E566" s="29"/>
      <c r="H566" s="27"/>
      <c r="K566"/>
      <c r="P566" s="27"/>
      <c r="Q566" s="27"/>
      <c r="R566" s="27"/>
    </row>
    <row r="567" spans="1:18">
      <c r="A567" s="28"/>
      <c r="B567" s="29"/>
      <c r="C567" s="29"/>
      <c r="D567" s="29"/>
      <c r="E567" s="29"/>
      <c r="H567" s="27"/>
      <c r="K567"/>
      <c r="P567" s="27"/>
      <c r="Q567" s="27"/>
      <c r="R567" s="27"/>
    </row>
    <row r="568" spans="1:18">
      <c r="A568" s="28"/>
      <c r="B568" s="29"/>
      <c r="C568" s="29"/>
      <c r="D568" s="29"/>
      <c r="E568" s="29"/>
      <c r="H568" s="27"/>
      <c r="K568"/>
      <c r="P568" s="27"/>
      <c r="Q568" s="27"/>
      <c r="R568" s="27"/>
    </row>
    <row r="569" spans="1:18">
      <c r="A569" s="28"/>
      <c r="B569" s="29"/>
      <c r="C569" s="29"/>
      <c r="D569" s="29"/>
      <c r="E569" s="29"/>
      <c r="H569" s="27"/>
      <c r="K569"/>
      <c r="P569" s="27"/>
      <c r="Q569" s="27"/>
      <c r="R569" s="27"/>
    </row>
    <row r="570" spans="1:18">
      <c r="A570" s="28"/>
      <c r="B570" s="29"/>
      <c r="C570" s="29"/>
      <c r="D570" s="29"/>
      <c r="E570" s="29"/>
      <c r="H570" s="27"/>
      <c r="K570"/>
      <c r="P570" s="27"/>
      <c r="Q570" s="27"/>
      <c r="R570" s="27"/>
    </row>
    <row r="571" spans="1:18">
      <c r="A571" s="28"/>
      <c r="B571" s="29"/>
      <c r="C571" s="29"/>
      <c r="D571" s="29"/>
      <c r="E571" s="29"/>
      <c r="H571" s="27"/>
      <c r="K571"/>
      <c r="P571" s="27"/>
      <c r="Q571" s="27"/>
      <c r="R571" s="27"/>
    </row>
    <row r="572" spans="1:18">
      <c r="A572" s="28"/>
      <c r="B572" s="29"/>
      <c r="C572" s="29"/>
      <c r="D572" s="29"/>
      <c r="E572" s="29"/>
      <c r="H572" s="27"/>
      <c r="K572"/>
      <c r="P572" s="27"/>
      <c r="Q572" s="27"/>
      <c r="R572" s="27"/>
    </row>
    <row r="573" spans="1:18">
      <c r="A573" s="28"/>
      <c r="B573" s="29"/>
      <c r="C573" s="29"/>
      <c r="D573" s="29"/>
      <c r="E573" s="29"/>
      <c r="H573" s="27"/>
      <c r="K573"/>
      <c r="P573" s="27"/>
      <c r="Q573" s="27"/>
      <c r="R573" s="27"/>
    </row>
    <row r="574" spans="1:18">
      <c r="A574" s="28"/>
      <c r="B574" s="29"/>
      <c r="C574" s="29"/>
      <c r="D574" s="29"/>
      <c r="E574" s="29"/>
      <c r="H574" s="27"/>
      <c r="K574"/>
      <c r="P574" s="27"/>
      <c r="Q574" s="27"/>
      <c r="R574" s="27"/>
    </row>
    <row r="575" spans="1:18">
      <c r="A575" s="28"/>
      <c r="B575" s="29"/>
      <c r="C575" s="29"/>
      <c r="D575" s="29"/>
      <c r="E575" s="29"/>
      <c r="H575" s="27"/>
      <c r="K575"/>
      <c r="P575" s="27"/>
      <c r="Q575" s="27"/>
      <c r="R575" s="27"/>
    </row>
    <row r="576" spans="1:18">
      <c r="A576" s="28"/>
      <c r="B576" s="29"/>
      <c r="C576" s="29"/>
      <c r="D576" s="29"/>
      <c r="E576" s="29"/>
      <c r="H576" s="27"/>
      <c r="K576"/>
      <c r="P576" s="27"/>
      <c r="Q576" s="27"/>
      <c r="R576" s="27"/>
    </row>
    <row r="577" spans="1:18">
      <c r="A577" s="28"/>
      <c r="B577" s="29"/>
      <c r="C577" s="29"/>
      <c r="D577" s="29"/>
      <c r="E577" s="29"/>
      <c r="H577" s="27"/>
      <c r="K577"/>
      <c r="P577" s="27"/>
      <c r="Q577" s="27"/>
      <c r="R577" s="27"/>
    </row>
    <row r="578" spans="1:18">
      <c r="A578" s="28"/>
      <c r="B578" s="29"/>
      <c r="C578" s="29"/>
      <c r="D578" s="29"/>
      <c r="E578" s="29"/>
      <c r="H578" s="27"/>
      <c r="K578"/>
      <c r="P578" s="27"/>
      <c r="Q578" s="27"/>
      <c r="R578" s="27"/>
    </row>
    <row r="579" spans="1:18">
      <c r="A579" s="28"/>
      <c r="B579" s="29"/>
      <c r="C579" s="29"/>
      <c r="D579" s="29"/>
      <c r="E579" s="29"/>
      <c r="H579" s="27"/>
      <c r="K579"/>
      <c r="P579" s="27"/>
      <c r="Q579" s="27"/>
      <c r="R579" s="27"/>
    </row>
    <row r="580" spans="1:18">
      <c r="A580" s="28"/>
      <c r="B580" s="29"/>
      <c r="C580" s="29"/>
      <c r="D580" s="29"/>
      <c r="E580" s="29"/>
      <c r="H580" s="27"/>
      <c r="K580"/>
      <c r="P580" s="27"/>
      <c r="Q580" s="27"/>
      <c r="R580" s="27"/>
    </row>
    <row r="581" spans="1:18">
      <c r="A581" s="28"/>
      <c r="B581" s="29"/>
      <c r="C581" s="29"/>
      <c r="D581" s="29"/>
      <c r="E581" s="29"/>
      <c r="H581" s="27"/>
      <c r="K581"/>
      <c r="P581" s="27"/>
      <c r="Q581" s="27"/>
      <c r="R581" s="27"/>
    </row>
    <row r="582" spans="1:18">
      <c r="A582" s="28"/>
      <c r="B582" s="29"/>
      <c r="C582" s="29"/>
      <c r="D582" s="29"/>
      <c r="E582" s="29"/>
      <c r="H582" s="27"/>
      <c r="K582"/>
      <c r="P582" s="27"/>
      <c r="Q582" s="27"/>
      <c r="R582" s="27"/>
    </row>
    <row r="583" spans="1:18">
      <c r="A583" s="28"/>
      <c r="B583" s="29"/>
      <c r="C583" s="29"/>
      <c r="D583" s="29"/>
      <c r="E583" s="29"/>
      <c r="H583" s="27"/>
      <c r="K583"/>
      <c r="P583" s="27"/>
      <c r="Q583" s="27"/>
      <c r="R583" s="27"/>
    </row>
    <row r="584" spans="1:18">
      <c r="A584" s="28"/>
      <c r="B584" s="29"/>
      <c r="C584" s="29"/>
      <c r="D584" s="29"/>
      <c r="E584" s="29"/>
      <c r="H584" s="27"/>
      <c r="K584"/>
      <c r="P584" s="27"/>
      <c r="Q584" s="27"/>
      <c r="R584" s="27"/>
    </row>
    <row r="585" spans="1:18">
      <c r="A585" s="28"/>
      <c r="B585" s="29"/>
      <c r="C585" s="29"/>
      <c r="D585" s="29"/>
      <c r="E585" s="29"/>
      <c r="H585" s="27"/>
      <c r="K585"/>
      <c r="P585" s="27"/>
      <c r="Q585" s="27"/>
      <c r="R585" s="27"/>
    </row>
    <row r="586" spans="1:18">
      <c r="A586" s="28"/>
      <c r="B586" s="29"/>
      <c r="C586" s="29"/>
      <c r="D586" s="29"/>
      <c r="E586" s="29"/>
      <c r="H586" s="27"/>
      <c r="K586"/>
      <c r="P586" s="27"/>
      <c r="Q586" s="27"/>
      <c r="R586" s="27"/>
    </row>
    <row r="587" spans="1:18">
      <c r="A587" s="28"/>
      <c r="B587" s="29"/>
      <c r="C587" s="29"/>
      <c r="D587" s="29"/>
      <c r="E587" s="29"/>
      <c r="H587" s="27"/>
      <c r="K587"/>
      <c r="P587" s="27"/>
      <c r="Q587" s="27"/>
      <c r="R587" s="27"/>
    </row>
    <row r="588" spans="1:18">
      <c r="A588" s="28"/>
      <c r="B588" s="29"/>
      <c r="C588" s="29"/>
      <c r="D588" s="29"/>
      <c r="E588" s="29"/>
      <c r="H588" s="27"/>
      <c r="K588"/>
      <c r="P588" s="27"/>
      <c r="Q588" s="27"/>
      <c r="R588" s="27"/>
    </row>
    <row r="589" spans="1:18">
      <c r="A589" s="28"/>
      <c r="B589" s="29"/>
      <c r="C589" s="29"/>
      <c r="D589" s="29"/>
      <c r="E589" s="29"/>
      <c r="H589" s="27"/>
      <c r="K589"/>
      <c r="P589" s="27"/>
      <c r="Q589" s="27"/>
      <c r="R589" s="27"/>
    </row>
    <row r="590" spans="1:18">
      <c r="A590" s="28"/>
      <c r="B590" s="29"/>
      <c r="C590" s="29"/>
      <c r="D590" s="29"/>
      <c r="E590" s="29"/>
      <c r="H590" s="27"/>
      <c r="K590"/>
      <c r="P590" s="27"/>
      <c r="Q590" s="27"/>
      <c r="R590" s="27"/>
    </row>
    <row r="591" spans="1:18">
      <c r="A591" s="28"/>
      <c r="B591" s="29"/>
      <c r="C591" s="29"/>
      <c r="D591" s="29"/>
      <c r="E591" s="29"/>
      <c r="H591" s="27"/>
      <c r="K591"/>
      <c r="P591" s="27"/>
      <c r="Q591" s="27"/>
      <c r="R591" s="27"/>
    </row>
    <row r="592" spans="1:18">
      <c r="A592" s="28"/>
      <c r="B592" s="29"/>
      <c r="C592" s="29"/>
      <c r="D592" s="29"/>
      <c r="E592" s="29"/>
      <c r="H592" s="27"/>
      <c r="K592"/>
      <c r="P592" s="27"/>
      <c r="Q592" s="27"/>
      <c r="R592" s="27"/>
    </row>
    <row r="593" spans="1:18">
      <c r="A593" s="28"/>
      <c r="B593" s="29"/>
      <c r="C593" s="29"/>
      <c r="D593" s="29"/>
      <c r="E593" s="29"/>
      <c r="H593" s="27"/>
      <c r="K593"/>
      <c r="P593" s="27"/>
      <c r="Q593" s="27"/>
      <c r="R593" s="27"/>
    </row>
    <row r="594" spans="1:18">
      <c r="A594" s="28"/>
      <c r="B594" s="29"/>
      <c r="C594" s="29"/>
      <c r="D594" s="29"/>
      <c r="E594" s="29"/>
      <c r="H594" s="27"/>
      <c r="K594"/>
      <c r="P594" s="27"/>
      <c r="Q594" s="27"/>
      <c r="R594" s="27"/>
    </row>
    <row r="595" spans="1:18">
      <c r="A595" s="28"/>
      <c r="B595" s="29"/>
      <c r="C595" s="29"/>
      <c r="D595" s="29"/>
      <c r="E595" s="29"/>
      <c r="H595" s="27"/>
      <c r="K595"/>
      <c r="P595" s="27"/>
      <c r="Q595" s="27"/>
      <c r="R595" s="27"/>
    </row>
    <row r="596" spans="1:18">
      <c r="A596" s="28"/>
      <c r="B596" s="29"/>
      <c r="C596" s="29"/>
      <c r="D596" s="29"/>
      <c r="E596" s="29"/>
      <c r="H596" s="27"/>
      <c r="K596"/>
      <c r="P596" s="27"/>
      <c r="Q596" s="27"/>
      <c r="R596" s="27"/>
    </row>
    <row r="597" spans="1:18">
      <c r="A597" s="28"/>
      <c r="B597" s="29"/>
      <c r="C597" s="29"/>
      <c r="D597" s="29"/>
      <c r="E597" s="29"/>
      <c r="H597" s="27"/>
      <c r="K597"/>
      <c r="P597" s="27"/>
      <c r="Q597" s="27"/>
      <c r="R597" s="27"/>
    </row>
    <row r="598" spans="1:18">
      <c r="A598" s="28"/>
      <c r="B598" s="29"/>
      <c r="C598" s="29"/>
      <c r="D598" s="29"/>
      <c r="E598" s="29"/>
      <c r="H598" s="27"/>
      <c r="K598"/>
      <c r="P598" s="27"/>
      <c r="Q598" s="27"/>
      <c r="R598" s="27"/>
    </row>
    <row r="599" spans="1:18">
      <c r="A599" s="28"/>
      <c r="B599" s="29"/>
      <c r="C599" s="29"/>
      <c r="D599" s="29"/>
      <c r="E599" s="29"/>
      <c r="H599" s="27"/>
      <c r="K599"/>
      <c r="P599" s="27"/>
      <c r="Q599" s="27"/>
      <c r="R599" s="27"/>
    </row>
    <row r="600" spans="1:18">
      <c r="A600" s="28"/>
      <c r="B600" s="29"/>
      <c r="C600" s="29"/>
      <c r="D600" s="29"/>
      <c r="E600" s="29"/>
      <c r="H600" s="27"/>
      <c r="K600"/>
      <c r="P600" s="27"/>
      <c r="Q600" s="27"/>
      <c r="R600" s="27"/>
    </row>
    <row r="601" spans="1:18">
      <c r="A601" s="28"/>
      <c r="B601" s="29"/>
      <c r="C601" s="29"/>
      <c r="D601" s="29"/>
      <c r="E601" s="29"/>
      <c r="H601" s="27"/>
      <c r="K601"/>
      <c r="P601" s="27"/>
      <c r="Q601" s="27"/>
      <c r="R601" s="27"/>
    </row>
    <row r="602" spans="1:18">
      <c r="A602" s="28"/>
      <c r="B602" s="29"/>
      <c r="C602" s="29"/>
      <c r="D602" s="29"/>
      <c r="E602" s="29"/>
      <c r="H602" s="27"/>
      <c r="K602"/>
      <c r="P602" s="27"/>
      <c r="Q602" s="27"/>
      <c r="R602" s="27"/>
    </row>
    <row r="603" spans="1:18">
      <c r="A603" s="28"/>
      <c r="B603" s="29"/>
      <c r="C603" s="29"/>
      <c r="D603" s="29"/>
      <c r="E603" s="29"/>
      <c r="H603" s="27"/>
      <c r="K603"/>
      <c r="P603" s="27"/>
      <c r="Q603" s="27"/>
      <c r="R603" s="27"/>
    </row>
    <row r="604" spans="1:18">
      <c r="A604" s="28"/>
      <c r="B604" s="29"/>
      <c r="C604" s="29"/>
      <c r="D604" s="29"/>
      <c r="E604" s="29"/>
      <c r="H604" s="27"/>
      <c r="K604"/>
      <c r="P604" s="27"/>
      <c r="Q604" s="27"/>
      <c r="R604" s="27"/>
    </row>
    <row r="605" spans="1:18">
      <c r="A605" s="28"/>
      <c r="B605" s="29"/>
      <c r="C605" s="29"/>
      <c r="D605" s="29"/>
      <c r="E605" s="29"/>
      <c r="H605" s="27"/>
      <c r="K605"/>
      <c r="P605" s="27"/>
      <c r="Q605" s="27"/>
      <c r="R605" s="27"/>
    </row>
    <row r="606" spans="1:18">
      <c r="A606" s="28"/>
      <c r="B606" s="29"/>
      <c r="C606" s="29"/>
      <c r="D606" s="29"/>
      <c r="E606" s="29"/>
      <c r="H606" s="27"/>
      <c r="K606"/>
      <c r="P606" s="27"/>
      <c r="Q606" s="27"/>
      <c r="R606" s="27"/>
    </row>
    <row r="607" spans="1:18">
      <c r="A607" s="28"/>
      <c r="B607" s="29"/>
      <c r="C607" s="29"/>
      <c r="D607" s="29"/>
      <c r="E607" s="29"/>
      <c r="H607" s="27"/>
      <c r="K607"/>
      <c r="P607" s="27"/>
      <c r="Q607" s="27"/>
      <c r="R607" s="27"/>
    </row>
    <row r="608" spans="1:18">
      <c r="A608" s="28"/>
      <c r="B608" s="29"/>
      <c r="C608" s="29"/>
      <c r="D608" s="29"/>
      <c r="E608" s="29"/>
      <c r="H608" s="27"/>
      <c r="K608"/>
      <c r="P608" s="27"/>
      <c r="Q608" s="27"/>
      <c r="R608" s="27"/>
    </row>
    <row r="609" spans="1:18">
      <c r="A609" s="28"/>
      <c r="B609" s="29"/>
      <c r="C609" s="29"/>
      <c r="D609" s="29"/>
      <c r="E609" s="29"/>
      <c r="H609" s="27"/>
      <c r="K609"/>
      <c r="P609" s="27"/>
      <c r="Q609" s="27"/>
      <c r="R609" s="27"/>
    </row>
    <row r="610" spans="1:18">
      <c r="A610" s="28"/>
      <c r="B610" s="29"/>
      <c r="C610" s="29"/>
      <c r="D610" s="29"/>
      <c r="E610" s="29"/>
      <c r="H610" s="27"/>
      <c r="K610"/>
      <c r="P610" s="27"/>
      <c r="Q610" s="27"/>
      <c r="R610" s="27"/>
    </row>
    <row r="611" spans="1:18">
      <c r="A611" s="28"/>
      <c r="B611" s="29"/>
      <c r="C611" s="29"/>
      <c r="D611" s="29"/>
      <c r="E611" s="29"/>
      <c r="H611" s="27"/>
      <c r="K611"/>
      <c r="P611" s="27"/>
      <c r="Q611" s="27"/>
      <c r="R611" s="27"/>
    </row>
    <row r="612" spans="1:18">
      <c r="A612" s="28"/>
      <c r="B612" s="29"/>
      <c r="C612" s="29"/>
      <c r="D612" s="29"/>
      <c r="E612" s="29"/>
      <c r="H612" s="27"/>
      <c r="K612"/>
      <c r="P612" s="27"/>
      <c r="Q612" s="27"/>
      <c r="R612" s="27"/>
    </row>
    <row r="613" spans="1:18">
      <c r="A613" s="28"/>
      <c r="B613" s="29"/>
      <c r="C613" s="29"/>
      <c r="D613" s="29"/>
      <c r="E613" s="29"/>
      <c r="H613" s="27"/>
      <c r="K613"/>
      <c r="P613" s="27"/>
      <c r="Q613" s="27"/>
      <c r="R613" s="27"/>
    </row>
    <row r="614" spans="1:18">
      <c r="A614" s="28"/>
      <c r="B614" s="29"/>
      <c r="C614" s="29"/>
      <c r="D614" s="29"/>
      <c r="E614" s="29"/>
      <c r="H614" s="27"/>
      <c r="K614"/>
      <c r="P614" s="27"/>
      <c r="Q614" s="27"/>
      <c r="R614" s="27"/>
    </row>
    <row r="615" spans="1:18">
      <c r="A615" s="28"/>
      <c r="B615" s="29"/>
      <c r="C615" s="29"/>
      <c r="D615" s="29"/>
      <c r="E615" s="29"/>
      <c r="H615" s="27"/>
      <c r="K615"/>
      <c r="P615" s="27"/>
      <c r="Q615" s="27"/>
      <c r="R615" s="27"/>
    </row>
    <row r="616" spans="1:18">
      <c r="A616" s="28"/>
      <c r="B616" s="29"/>
      <c r="C616" s="29"/>
      <c r="D616" s="29"/>
      <c r="E616" s="29"/>
      <c r="H616" s="27"/>
      <c r="K616"/>
      <c r="P616" s="27"/>
      <c r="Q616" s="27"/>
      <c r="R616" s="27"/>
    </row>
    <row r="617" spans="1:18">
      <c r="A617" s="28"/>
      <c r="B617" s="29"/>
      <c r="C617" s="29"/>
      <c r="D617" s="29"/>
      <c r="E617" s="29"/>
      <c r="H617" s="27"/>
      <c r="K617"/>
      <c r="P617" s="27"/>
      <c r="Q617" s="27"/>
      <c r="R617" s="27"/>
    </row>
    <row r="618" spans="1:18">
      <c r="A618" s="28"/>
      <c r="B618" s="29"/>
      <c r="C618" s="29"/>
      <c r="D618" s="29"/>
      <c r="E618" s="29"/>
      <c r="H618" s="27"/>
      <c r="K618"/>
      <c r="P618" s="27"/>
      <c r="Q618" s="27"/>
      <c r="R618" s="27"/>
    </row>
    <row r="619" spans="1:18">
      <c r="A619" s="28"/>
      <c r="B619" s="29"/>
      <c r="C619" s="29"/>
      <c r="D619" s="29"/>
      <c r="E619" s="29"/>
      <c r="H619" s="27"/>
      <c r="K619"/>
      <c r="P619" s="27"/>
      <c r="Q619" s="27"/>
      <c r="R619" s="27"/>
    </row>
    <row r="620" spans="1:18">
      <c r="A620" s="28"/>
      <c r="B620" s="29"/>
      <c r="C620" s="29"/>
      <c r="D620" s="29"/>
      <c r="E620" s="29"/>
      <c r="H620" s="27"/>
      <c r="K620"/>
      <c r="P620" s="27"/>
      <c r="Q620" s="27"/>
      <c r="R620" s="27"/>
    </row>
    <row r="621" spans="1:18">
      <c r="A621" s="28"/>
      <c r="B621" s="29"/>
      <c r="C621" s="29"/>
      <c r="D621" s="29"/>
      <c r="E621" s="29"/>
      <c r="H621" s="27"/>
      <c r="K621"/>
      <c r="P621" s="27"/>
      <c r="Q621" s="27"/>
      <c r="R621" s="27"/>
    </row>
    <row r="622" spans="1:18">
      <c r="A622" s="28"/>
      <c r="B622" s="29"/>
      <c r="C622" s="29"/>
      <c r="D622" s="29"/>
      <c r="E622" s="29"/>
      <c r="H622" s="27"/>
      <c r="K622"/>
      <c r="P622" s="27"/>
      <c r="Q622" s="27"/>
      <c r="R622" s="27"/>
    </row>
    <row r="623" spans="1:18">
      <c r="A623" s="28"/>
      <c r="B623" s="29"/>
      <c r="C623" s="29"/>
      <c r="D623" s="29"/>
      <c r="E623" s="29"/>
      <c r="H623" s="27"/>
      <c r="K623"/>
      <c r="P623" s="27"/>
      <c r="Q623" s="27"/>
      <c r="R623" s="27"/>
    </row>
    <row r="624" spans="1:18">
      <c r="A624" s="28"/>
      <c r="B624" s="29"/>
      <c r="C624" s="29"/>
      <c r="D624" s="29"/>
      <c r="E624" s="29"/>
      <c r="H624" s="27"/>
      <c r="K624"/>
      <c r="P624" s="27"/>
      <c r="Q624" s="27"/>
      <c r="R624" s="27"/>
    </row>
    <row r="625" spans="1:18">
      <c r="A625" s="28"/>
      <c r="B625" s="29"/>
      <c r="C625" s="29"/>
      <c r="D625" s="29"/>
      <c r="E625" s="29"/>
      <c r="H625" s="27"/>
      <c r="K625"/>
      <c r="P625" s="27"/>
      <c r="Q625" s="27"/>
      <c r="R625" s="27"/>
    </row>
    <row r="626" spans="1:18">
      <c r="A626" s="28"/>
      <c r="B626" s="29"/>
      <c r="C626" s="29"/>
      <c r="D626" s="29"/>
      <c r="E626" s="29"/>
      <c r="H626" s="27"/>
      <c r="K626"/>
      <c r="P626" s="27"/>
      <c r="Q626" s="27"/>
      <c r="R626" s="27"/>
    </row>
    <row r="627" spans="1:18">
      <c r="A627" s="28"/>
      <c r="B627" s="29"/>
      <c r="C627" s="29"/>
      <c r="D627" s="29"/>
      <c r="E627" s="29"/>
      <c r="H627" s="27"/>
      <c r="K627"/>
      <c r="P627" s="27"/>
      <c r="Q627" s="27"/>
      <c r="R627" s="27"/>
    </row>
    <row r="628" spans="1:18">
      <c r="A628" s="28"/>
      <c r="B628" s="29"/>
      <c r="C628" s="29"/>
      <c r="D628" s="29"/>
      <c r="E628" s="29"/>
      <c r="H628" s="27"/>
      <c r="K628"/>
      <c r="P628" s="27"/>
      <c r="Q628" s="27"/>
      <c r="R628" s="27"/>
    </row>
    <row r="629" spans="1:18">
      <c r="A629" s="28"/>
      <c r="B629" s="29"/>
      <c r="C629" s="29"/>
      <c r="D629" s="29"/>
      <c r="E629" s="29"/>
      <c r="H629" s="27"/>
      <c r="K629"/>
      <c r="P629" s="27"/>
      <c r="Q629" s="27"/>
      <c r="R629" s="27"/>
    </row>
    <row r="630" spans="1:18">
      <c r="A630" s="28"/>
      <c r="B630" s="29"/>
      <c r="C630" s="29"/>
      <c r="D630" s="29"/>
      <c r="E630" s="29"/>
      <c r="H630" s="27"/>
      <c r="K630"/>
      <c r="P630" s="27"/>
      <c r="Q630" s="27"/>
      <c r="R630" s="27"/>
    </row>
    <row r="631" spans="1:18">
      <c r="A631" s="28"/>
      <c r="B631" s="29"/>
      <c r="C631" s="29"/>
      <c r="D631" s="29"/>
      <c r="E631" s="29"/>
      <c r="H631" s="27"/>
      <c r="K631"/>
      <c r="P631" s="27"/>
      <c r="Q631" s="27"/>
      <c r="R631" s="27"/>
    </row>
    <row r="632" spans="1:18">
      <c r="A632" s="28"/>
      <c r="B632" s="29"/>
      <c r="C632" s="29"/>
      <c r="D632" s="29"/>
      <c r="E632" s="29"/>
      <c r="H632" s="27"/>
      <c r="K632"/>
      <c r="P632" s="27"/>
      <c r="Q632" s="27"/>
      <c r="R632" s="27"/>
    </row>
    <row r="633" spans="1:18">
      <c r="A633" s="28"/>
      <c r="B633" s="29"/>
      <c r="C633" s="29"/>
      <c r="D633" s="29"/>
      <c r="E633" s="29"/>
      <c r="H633" s="27"/>
      <c r="K633"/>
      <c r="P633" s="27"/>
      <c r="Q633" s="27"/>
      <c r="R633" s="27"/>
    </row>
    <row r="634" spans="1:18">
      <c r="A634" s="28"/>
      <c r="B634" s="29"/>
      <c r="C634" s="29"/>
      <c r="D634" s="29"/>
      <c r="E634" s="29"/>
      <c r="H634" s="27"/>
      <c r="K634"/>
      <c r="P634" s="27"/>
      <c r="Q634" s="27"/>
      <c r="R634" s="27"/>
    </row>
    <row r="635" spans="1:18">
      <c r="A635" s="28"/>
      <c r="B635" s="29"/>
      <c r="C635" s="29"/>
      <c r="D635" s="29"/>
      <c r="E635" s="29"/>
      <c r="H635" s="27"/>
      <c r="K635"/>
      <c r="P635" s="27"/>
      <c r="Q635" s="27"/>
      <c r="R635" s="27"/>
    </row>
    <row r="636" spans="1:18">
      <c r="A636" s="28"/>
      <c r="B636" s="29"/>
      <c r="C636" s="29"/>
      <c r="D636" s="29"/>
      <c r="E636" s="29"/>
      <c r="H636" s="27"/>
      <c r="K636"/>
      <c r="P636" s="27"/>
      <c r="Q636" s="27"/>
      <c r="R636" s="27"/>
    </row>
    <row r="637" spans="1:18">
      <c r="A637" s="28"/>
      <c r="B637" s="29"/>
      <c r="C637" s="29"/>
      <c r="D637" s="29"/>
      <c r="E637" s="29"/>
      <c r="H637" s="27"/>
      <c r="K637"/>
      <c r="P637" s="27"/>
      <c r="Q637" s="27"/>
      <c r="R637" s="27"/>
    </row>
    <row r="638" spans="1:18">
      <c r="A638" s="28"/>
      <c r="B638" s="29"/>
      <c r="C638" s="29"/>
      <c r="D638" s="29"/>
      <c r="E638" s="29"/>
      <c r="H638" s="27"/>
      <c r="K638"/>
      <c r="P638" s="27"/>
      <c r="Q638" s="27"/>
      <c r="R638" s="27"/>
    </row>
    <row r="639" spans="1:18">
      <c r="A639" s="28"/>
      <c r="B639" s="29"/>
      <c r="C639" s="29"/>
      <c r="D639" s="29"/>
      <c r="E639" s="29"/>
      <c r="H639" s="27"/>
      <c r="K639"/>
      <c r="P639" s="27"/>
      <c r="Q639" s="27"/>
      <c r="R639" s="27"/>
    </row>
    <row r="640" spans="1:18">
      <c r="A640" s="28"/>
      <c r="B640" s="29"/>
      <c r="C640" s="29"/>
      <c r="D640" s="29"/>
      <c r="E640" s="29"/>
      <c r="H640" s="27"/>
      <c r="K640"/>
      <c r="P640" s="27"/>
      <c r="Q640" s="27"/>
      <c r="R640" s="27"/>
    </row>
    <row r="641" spans="1:18">
      <c r="A641" s="28"/>
      <c r="B641" s="29"/>
      <c r="C641" s="29"/>
      <c r="D641" s="29"/>
      <c r="E641" s="29"/>
      <c r="H641" s="27"/>
      <c r="K641"/>
      <c r="P641" s="27"/>
      <c r="Q641" s="27"/>
      <c r="R641" s="27"/>
    </row>
    <row r="642" spans="1:18">
      <c r="A642" s="28"/>
      <c r="B642" s="29"/>
      <c r="C642" s="29"/>
      <c r="D642" s="29"/>
      <c r="E642" s="29"/>
      <c r="H642" s="27"/>
      <c r="K642"/>
      <c r="P642" s="27"/>
      <c r="Q642" s="27"/>
      <c r="R642" s="27"/>
    </row>
    <row r="643" spans="1:18">
      <c r="A643" s="28"/>
      <c r="B643" s="29"/>
      <c r="C643" s="29"/>
      <c r="D643" s="29"/>
      <c r="E643" s="29"/>
      <c r="H643" s="27"/>
      <c r="K643"/>
      <c r="P643" s="27"/>
      <c r="Q643" s="27"/>
      <c r="R643" s="27"/>
    </row>
    <row r="644" spans="1:18">
      <c r="A644" s="28"/>
      <c r="B644" s="29"/>
      <c r="C644" s="29"/>
      <c r="D644" s="29"/>
      <c r="E644" s="29"/>
      <c r="H644" s="27"/>
      <c r="K644"/>
      <c r="P644" s="27"/>
      <c r="Q644" s="27"/>
      <c r="R644" s="27"/>
    </row>
    <row r="645" spans="1:18">
      <c r="A645" s="28"/>
      <c r="B645" s="29"/>
      <c r="C645" s="29"/>
      <c r="D645" s="29"/>
      <c r="E645" s="29"/>
      <c r="H645" s="27"/>
      <c r="K645"/>
      <c r="P645" s="27"/>
      <c r="Q645" s="27"/>
      <c r="R645" s="27"/>
    </row>
    <row r="646" spans="1:18">
      <c r="A646" s="28"/>
      <c r="B646" s="29"/>
      <c r="C646" s="29"/>
      <c r="D646" s="29"/>
      <c r="E646" s="29"/>
      <c r="H646" s="27"/>
      <c r="K646"/>
      <c r="P646" s="27"/>
      <c r="Q646" s="27"/>
      <c r="R646" s="27"/>
    </row>
    <row r="647" spans="1:18">
      <c r="A647" s="28"/>
      <c r="B647" s="29"/>
      <c r="C647" s="29"/>
      <c r="D647" s="29"/>
      <c r="E647" s="29"/>
      <c r="H647" s="27"/>
      <c r="K647"/>
      <c r="P647" s="27"/>
      <c r="Q647" s="27"/>
      <c r="R647" s="27"/>
    </row>
    <row r="648" spans="1:18">
      <c r="A648" s="28"/>
      <c r="B648" s="29"/>
      <c r="C648" s="29"/>
      <c r="D648" s="29"/>
      <c r="E648" s="29"/>
      <c r="H648" s="27"/>
      <c r="K648"/>
      <c r="P648" s="27"/>
      <c r="Q648" s="27"/>
      <c r="R648" s="27"/>
    </row>
    <row r="649" spans="1:18">
      <c r="A649" s="28"/>
      <c r="B649" s="29"/>
      <c r="C649" s="29"/>
      <c r="D649" s="29"/>
      <c r="E649" s="29"/>
      <c r="H649" s="27"/>
      <c r="K649"/>
      <c r="P649" s="27"/>
      <c r="Q649" s="27"/>
      <c r="R649" s="27"/>
    </row>
    <row r="650" spans="1:18">
      <c r="A650" s="28"/>
      <c r="B650" s="29"/>
      <c r="C650" s="29"/>
      <c r="D650" s="29"/>
      <c r="E650" s="29"/>
      <c r="H650" s="27"/>
      <c r="K650"/>
      <c r="P650" s="27"/>
      <c r="Q650" s="27"/>
      <c r="R650" s="27"/>
    </row>
    <row r="651" spans="1:18">
      <c r="A651" s="28"/>
      <c r="B651" s="29"/>
      <c r="C651" s="29"/>
      <c r="D651" s="29"/>
      <c r="E651" s="29"/>
      <c r="H651" s="27"/>
      <c r="K651"/>
      <c r="P651" s="27"/>
      <c r="Q651" s="27"/>
      <c r="R651" s="27"/>
    </row>
    <row r="652" spans="1:18">
      <c r="A652" s="28"/>
      <c r="B652" s="29"/>
      <c r="C652" s="29"/>
      <c r="D652" s="29"/>
      <c r="E652" s="29"/>
      <c r="H652" s="27"/>
      <c r="K652"/>
      <c r="P652" s="27"/>
      <c r="Q652" s="27"/>
      <c r="R652" s="27"/>
    </row>
    <row r="653" spans="1:18">
      <c r="A653" s="28"/>
      <c r="B653" s="29"/>
      <c r="C653" s="29"/>
      <c r="D653" s="29"/>
      <c r="E653" s="29"/>
      <c r="H653" s="27"/>
      <c r="K653"/>
      <c r="P653" s="27"/>
      <c r="Q653" s="27"/>
      <c r="R653" s="27"/>
    </row>
    <row r="654" spans="1:18">
      <c r="A654" s="28"/>
      <c r="B654" s="29"/>
      <c r="C654" s="29"/>
      <c r="D654" s="29"/>
      <c r="E654" s="29"/>
      <c r="H654" s="27"/>
      <c r="K654"/>
      <c r="P654" s="27"/>
      <c r="Q654" s="27"/>
      <c r="R654" s="27"/>
    </row>
    <row r="655" spans="1:18">
      <c r="A655" s="28"/>
      <c r="B655" s="29"/>
      <c r="C655" s="29"/>
      <c r="D655" s="29"/>
      <c r="E655" s="29"/>
      <c r="H655" s="27"/>
      <c r="K655"/>
      <c r="P655" s="27"/>
      <c r="Q655" s="27"/>
      <c r="R655" s="27"/>
    </row>
    <row r="656" spans="1:18">
      <c r="A656" s="28"/>
      <c r="B656" s="29"/>
      <c r="C656" s="29"/>
      <c r="D656" s="29"/>
      <c r="E656" s="29"/>
      <c r="H656" s="27"/>
      <c r="K656"/>
      <c r="P656" s="27"/>
      <c r="Q656" s="27"/>
      <c r="R656" s="27"/>
    </row>
    <row r="657" spans="1:18">
      <c r="A657" s="28"/>
      <c r="B657" s="29"/>
      <c r="C657" s="29"/>
      <c r="D657" s="29"/>
      <c r="E657" s="29"/>
      <c r="H657" s="27"/>
      <c r="K657"/>
      <c r="P657" s="27"/>
      <c r="Q657" s="27"/>
      <c r="R657" s="27"/>
    </row>
    <row r="658" spans="1:18">
      <c r="A658" s="28"/>
      <c r="B658" s="29"/>
      <c r="C658" s="29"/>
      <c r="D658" s="29"/>
      <c r="E658" s="29"/>
      <c r="H658" s="27"/>
      <c r="K658"/>
      <c r="P658" s="27"/>
      <c r="Q658" s="27"/>
      <c r="R658" s="27"/>
    </row>
    <row r="659" spans="1:18">
      <c r="A659" s="28"/>
      <c r="B659" s="29"/>
      <c r="C659" s="29"/>
      <c r="D659" s="29"/>
      <c r="E659" s="29"/>
      <c r="H659" s="27"/>
      <c r="K659"/>
      <c r="P659" s="27"/>
      <c r="Q659" s="27"/>
      <c r="R659" s="27"/>
    </row>
    <row r="660" spans="1:18">
      <c r="A660" s="28"/>
      <c r="B660" s="29"/>
      <c r="C660" s="29"/>
      <c r="D660" s="29"/>
      <c r="E660" s="29"/>
      <c r="H660" s="27"/>
      <c r="K660"/>
      <c r="P660" s="27"/>
      <c r="Q660" s="27"/>
      <c r="R660" s="27"/>
    </row>
    <row r="661" spans="1:18">
      <c r="A661" s="28"/>
      <c r="B661" s="29"/>
      <c r="C661" s="29"/>
      <c r="D661" s="29"/>
      <c r="E661" s="29"/>
      <c r="H661" s="27"/>
      <c r="K661"/>
      <c r="P661" s="27"/>
      <c r="Q661" s="27"/>
      <c r="R661" s="27"/>
    </row>
    <row r="662" spans="1:18">
      <c r="A662" s="28"/>
      <c r="B662" s="29"/>
      <c r="C662" s="29"/>
      <c r="D662" s="29"/>
      <c r="E662" s="29"/>
      <c r="H662" s="27"/>
      <c r="K662"/>
      <c r="P662" s="27"/>
      <c r="Q662" s="27"/>
      <c r="R662" s="27"/>
    </row>
    <row r="663" spans="1:18">
      <c r="A663" s="28"/>
      <c r="B663" s="29"/>
      <c r="C663" s="29"/>
      <c r="D663" s="29"/>
      <c r="E663" s="29"/>
      <c r="H663" s="27"/>
      <c r="K663"/>
      <c r="P663" s="27"/>
      <c r="Q663" s="27"/>
      <c r="R663" s="27"/>
    </row>
    <row r="664" spans="1:18">
      <c r="A664" s="28"/>
      <c r="B664" s="29"/>
      <c r="C664" s="29"/>
      <c r="D664" s="29"/>
      <c r="E664" s="29"/>
      <c r="H664" s="27"/>
      <c r="K664"/>
      <c r="P664" s="27"/>
      <c r="Q664" s="27"/>
      <c r="R664" s="27"/>
    </row>
    <row r="665" spans="1:18">
      <c r="A665" s="28"/>
      <c r="B665" s="29"/>
      <c r="C665" s="29"/>
      <c r="D665" s="29"/>
      <c r="E665" s="29"/>
      <c r="H665" s="27"/>
      <c r="K665"/>
      <c r="P665" s="27"/>
      <c r="Q665" s="27"/>
      <c r="R665" s="27"/>
    </row>
    <row r="666" spans="1:18">
      <c r="A666" s="28"/>
      <c r="B666" s="29"/>
      <c r="C666" s="29"/>
      <c r="D666" s="29"/>
      <c r="E666" s="29"/>
      <c r="H666" s="27"/>
      <c r="K666"/>
      <c r="P666" s="27"/>
      <c r="Q666" s="27"/>
      <c r="R666" s="27"/>
    </row>
    <row r="667" spans="1:18">
      <c r="A667" s="28"/>
      <c r="B667" s="29"/>
      <c r="C667" s="29"/>
      <c r="D667" s="29"/>
      <c r="E667" s="29"/>
      <c r="H667" s="27"/>
      <c r="K667"/>
      <c r="P667" s="27"/>
      <c r="Q667" s="27"/>
      <c r="R667" s="27"/>
    </row>
    <row r="668" spans="1:18">
      <c r="A668" s="28"/>
      <c r="B668" s="29"/>
      <c r="C668" s="29"/>
      <c r="D668" s="29"/>
      <c r="E668" s="29"/>
      <c r="H668" s="27"/>
      <c r="K668"/>
      <c r="P668" s="27"/>
      <c r="Q668" s="27"/>
      <c r="R668" s="27"/>
    </row>
    <row r="669" spans="1:18">
      <c r="A669" s="28"/>
      <c r="B669" s="29"/>
      <c r="C669" s="29"/>
      <c r="D669" s="29"/>
      <c r="E669" s="29"/>
      <c r="H669" s="27"/>
      <c r="K669"/>
      <c r="P669" s="27"/>
      <c r="Q669" s="27"/>
      <c r="R669" s="27"/>
    </row>
    <row r="670" spans="1:18">
      <c r="A670" s="28"/>
      <c r="B670" s="29"/>
      <c r="C670" s="29"/>
      <c r="D670" s="29"/>
      <c r="E670" s="29"/>
      <c r="H670" s="27"/>
      <c r="K670"/>
      <c r="P670" s="27"/>
      <c r="Q670" s="27"/>
      <c r="R670" s="27"/>
    </row>
    <row r="671" spans="1:18">
      <c r="A671" s="28"/>
      <c r="B671" s="29"/>
      <c r="C671" s="29"/>
      <c r="D671" s="29"/>
      <c r="E671" s="29"/>
      <c r="H671" s="27"/>
      <c r="K671"/>
      <c r="P671" s="27"/>
      <c r="Q671" s="27"/>
      <c r="R671" s="27"/>
    </row>
    <row r="672" spans="1:18">
      <c r="A672" s="28"/>
      <c r="B672" s="29"/>
      <c r="C672" s="29"/>
      <c r="D672" s="29"/>
      <c r="E672" s="29"/>
      <c r="H672" s="27"/>
      <c r="K672"/>
      <c r="P672" s="27"/>
      <c r="Q672" s="27"/>
      <c r="R672" s="27"/>
    </row>
    <row r="673" spans="1:18">
      <c r="A673" s="28"/>
      <c r="B673" s="29"/>
      <c r="C673" s="29"/>
      <c r="D673" s="29"/>
      <c r="E673" s="29"/>
      <c r="H673" s="27"/>
      <c r="K673"/>
      <c r="P673" s="27"/>
      <c r="Q673" s="27"/>
      <c r="R673" s="27"/>
    </row>
    <row r="674" spans="1:18">
      <c r="A674" s="28"/>
      <c r="B674" s="29"/>
      <c r="C674" s="29"/>
      <c r="D674" s="29"/>
      <c r="E674" s="29"/>
      <c r="H674" s="27"/>
      <c r="K674"/>
      <c r="P674" s="27"/>
      <c r="Q674" s="27"/>
      <c r="R674" s="27"/>
    </row>
    <row r="675" spans="1:18">
      <c r="A675" s="28"/>
      <c r="B675" s="29"/>
      <c r="C675" s="29"/>
      <c r="D675" s="29"/>
      <c r="E675" s="29"/>
      <c r="H675" s="27"/>
      <c r="K675"/>
      <c r="P675" s="27"/>
      <c r="Q675" s="27"/>
      <c r="R675" s="27"/>
    </row>
    <row r="676" spans="1:18">
      <c r="A676" s="28"/>
      <c r="B676" s="29"/>
      <c r="C676" s="29"/>
      <c r="D676" s="29"/>
      <c r="E676" s="29"/>
      <c r="H676" s="27"/>
      <c r="K676"/>
      <c r="P676" s="27"/>
      <c r="Q676" s="27"/>
      <c r="R676" s="27"/>
    </row>
    <row r="677" spans="1:18">
      <c r="A677" s="28"/>
      <c r="B677" s="29"/>
      <c r="C677" s="29"/>
      <c r="D677" s="29"/>
      <c r="E677" s="29"/>
      <c r="H677" s="27"/>
      <c r="K677"/>
      <c r="P677" s="27"/>
      <c r="Q677" s="27"/>
      <c r="R677" s="27"/>
    </row>
    <row r="678" spans="1:18">
      <c r="A678" s="28"/>
      <c r="B678" s="29"/>
      <c r="C678" s="29"/>
      <c r="D678" s="29"/>
      <c r="E678" s="29"/>
      <c r="H678" s="27"/>
      <c r="K678"/>
      <c r="P678" s="27"/>
      <c r="Q678" s="27"/>
      <c r="R678" s="27"/>
    </row>
    <row r="679" spans="1:18">
      <c r="A679" s="28"/>
      <c r="B679" s="29"/>
      <c r="C679" s="29"/>
      <c r="D679" s="29"/>
      <c r="E679" s="29"/>
      <c r="H679" s="27"/>
      <c r="K679"/>
      <c r="P679" s="27"/>
      <c r="Q679" s="27"/>
      <c r="R679" s="27"/>
    </row>
    <row r="680" spans="1:18">
      <c r="A680" s="28"/>
      <c r="B680" s="29"/>
      <c r="C680" s="29"/>
      <c r="D680" s="29"/>
      <c r="E680" s="29"/>
      <c r="H680" s="27"/>
      <c r="K680"/>
      <c r="P680" s="27"/>
      <c r="Q680" s="27"/>
      <c r="R680" s="27"/>
    </row>
    <row r="681" spans="1:18">
      <c r="A681" s="28"/>
      <c r="B681" s="29"/>
      <c r="C681" s="29"/>
      <c r="D681" s="29"/>
      <c r="E681" s="29"/>
      <c r="H681" s="27"/>
      <c r="K681"/>
      <c r="P681" s="27"/>
      <c r="Q681" s="27"/>
      <c r="R681" s="27"/>
    </row>
    <row r="682" spans="1:18">
      <c r="A682" s="28"/>
      <c r="B682" s="29"/>
      <c r="C682" s="29"/>
      <c r="D682" s="29"/>
      <c r="E682" s="29"/>
      <c r="H682" s="27"/>
      <c r="K682"/>
      <c r="P682" s="27"/>
      <c r="Q682" s="27"/>
      <c r="R682" s="27"/>
    </row>
    <row r="683" spans="1:18">
      <c r="A683" s="28"/>
      <c r="B683" s="29"/>
      <c r="C683" s="29"/>
      <c r="D683" s="29"/>
      <c r="E683" s="29"/>
      <c r="H683" s="27"/>
      <c r="K683"/>
      <c r="P683" s="27"/>
      <c r="Q683" s="27"/>
      <c r="R683" s="27"/>
    </row>
    <row r="684" spans="1:18">
      <c r="A684" s="28"/>
      <c r="B684" s="29"/>
      <c r="C684" s="29"/>
      <c r="D684" s="29"/>
      <c r="E684" s="29"/>
      <c r="H684" s="27"/>
      <c r="K684"/>
      <c r="P684" s="27"/>
      <c r="Q684" s="27"/>
      <c r="R684" s="27"/>
    </row>
    <row r="685" spans="1:18">
      <c r="A685" s="28"/>
      <c r="B685" s="29"/>
      <c r="C685" s="29"/>
      <c r="D685" s="29"/>
      <c r="E685" s="29"/>
      <c r="H685" s="27"/>
      <c r="K685"/>
      <c r="P685" s="27"/>
      <c r="Q685" s="27"/>
      <c r="R685" s="27"/>
    </row>
    <row r="686" spans="1:18">
      <c r="A686" s="28"/>
      <c r="B686" s="29"/>
      <c r="C686" s="29"/>
      <c r="D686" s="29"/>
      <c r="E686" s="29"/>
      <c r="H686" s="27"/>
      <c r="K686"/>
      <c r="P686" s="27"/>
      <c r="Q686" s="27"/>
      <c r="R686" s="27"/>
    </row>
    <row r="687" spans="1:18">
      <c r="A687" s="28"/>
      <c r="B687" s="29"/>
      <c r="C687" s="29"/>
      <c r="D687" s="29"/>
      <c r="E687" s="29"/>
      <c r="H687" s="27"/>
      <c r="K687"/>
      <c r="P687" s="27"/>
      <c r="Q687" s="27"/>
      <c r="R687" s="27"/>
    </row>
    <row r="688" spans="1:18">
      <c r="A688" s="28"/>
      <c r="B688" s="29"/>
      <c r="C688" s="29"/>
      <c r="D688" s="29"/>
      <c r="E688" s="29"/>
      <c r="H688" s="27"/>
      <c r="K688"/>
      <c r="P688" s="27"/>
      <c r="Q688" s="27"/>
      <c r="R688" s="27"/>
    </row>
    <row r="689" spans="1:18">
      <c r="A689" s="28"/>
      <c r="B689" s="29"/>
      <c r="C689" s="29"/>
      <c r="D689" s="29"/>
      <c r="E689" s="29"/>
      <c r="H689" s="27"/>
      <c r="K689"/>
      <c r="P689" s="27"/>
      <c r="Q689" s="27"/>
      <c r="R689" s="27"/>
    </row>
    <row r="690" spans="1:18">
      <c r="A690" s="28"/>
      <c r="B690" s="29"/>
      <c r="C690" s="29"/>
      <c r="D690" s="29"/>
      <c r="E690" s="29"/>
      <c r="H690" s="27"/>
      <c r="K690"/>
      <c r="P690" s="27"/>
      <c r="Q690" s="27"/>
      <c r="R690" s="27"/>
    </row>
    <row r="691" spans="1:18">
      <c r="A691" s="28"/>
      <c r="B691" s="29"/>
      <c r="C691" s="29"/>
      <c r="D691" s="29"/>
      <c r="E691" s="29"/>
      <c r="H691" s="27"/>
      <c r="K691"/>
      <c r="P691" s="27"/>
      <c r="Q691" s="27"/>
      <c r="R691" s="27"/>
    </row>
    <row r="692" spans="1:18">
      <c r="A692" s="28"/>
      <c r="B692" s="29"/>
      <c r="C692" s="29"/>
      <c r="D692" s="29"/>
      <c r="E692" s="29"/>
      <c r="H692" s="27"/>
      <c r="K692"/>
      <c r="P692" s="27"/>
      <c r="Q692" s="27"/>
      <c r="R692" s="27"/>
    </row>
    <row r="693" spans="1:18">
      <c r="A693" s="28"/>
      <c r="B693" s="29"/>
      <c r="C693" s="29"/>
      <c r="D693" s="29"/>
      <c r="E693" s="29"/>
      <c r="H693" s="27"/>
      <c r="K693"/>
      <c r="P693" s="27"/>
      <c r="Q693" s="27"/>
      <c r="R693" s="27"/>
    </row>
    <row r="694" spans="1:18">
      <c r="A694" s="28"/>
      <c r="B694" s="29"/>
      <c r="C694" s="29"/>
      <c r="D694" s="29"/>
      <c r="E694" s="29"/>
      <c r="H694" s="27"/>
      <c r="K694"/>
      <c r="P694" s="27"/>
      <c r="Q694" s="27"/>
      <c r="R694" s="27"/>
    </row>
    <row r="695" spans="1:18">
      <c r="A695" s="28"/>
      <c r="B695" s="29"/>
      <c r="C695" s="29"/>
      <c r="D695" s="29"/>
      <c r="E695" s="29"/>
      <c r="H695" s="27"/>
      <c r="K695"/>
      <c r="P695" s="27"/>
      <c r="Q695" s="27"/>
      <c r="R695" s="27"/>
    </row>
    <row r="696" spans="1:18">
      <c r="A696" s="28"/>
      <c r="B696" s="29"/>
      <c r="C696" s="29"/>
      <c r="D696" s="29"/>
      <c r="E696" s="29"/>
      <c r="H696" s="27"/>
      <c r="K696"/>
      <c r="P696" s="27"/>
      <c r="Q696" s="27"/>
      <c r="R696" s="27"/>
    </row>
    <row r="697" spans="1:18">
      <c r="A697" s="28"/>
      <c r="B697" s="29"/>
      <c r="C697" s="29"/>
      <c r="D697" s="29"/>
      <c r="E697" s="29"/>
      <c r="H697" s="27"/>
      <c r="K697"/>
      <c r="P697" s="27"/>
      <c r="Q697" s="27"/>
      <c r="R697" s="27"/>
    </row>
    <row r="698" spans="1:18">
      <c r="A698" s="28"/>
      <c r="B698" s="29"/>
      <c r="C698" s="29"/>
      <c r="D698" s="29"/>
      <c r="E698" s="29"/>
      <c r="H698" s="27"/>
      <c r="K698"/>
      <c r="P698" s="27"/>
      <c r="Q698" s="27"/>
      <c r="R698" s="27"/>
    </row>
    <row r="699" spans="1:18">
      <c r="A699" s="28"/>
      <c r="B699" s="29"/>
      <c r="C699" s="29"/>
      <c r="D699" s="29"/>
      <c r="E699" s="29"/>
      <c r="H699" s="27"/>
      <c r="K699"/>
      <c r="P699" s="27"/>
      <c r="Q699" s="27"/>
      <c r="R699" s="27"/>
    </row>
    <row r="700" spans="1:18">
      <c r="A700" s="28"/>
      <c r="B700" s="29"/>
      <c r="C700" s="29"/>
      <c r="D700" s="29"/>
      <c r="E700" s="29"/>
      <c r="H700" s="27"/>
      <c r="K700"/>
      <c r="P700" s="27"/>
      <c r="Q700" s="27"/>
      <c r="R700" s="27"/>
    </row>
    <row r="701" spans="1:18">
      <c r="A701" s="28"/>
      <c r="B701" s="29"/>
      <c r="C701" s="29"/>
      <c r="D701" s="29"/>
      <c r="E701" s="29"/>
      <c r="H701" s="27"/>
      <c r="K701"/>
      <c r="P701" s="27"/>
      <c r="Q701" s="27"/>
      <c r="R701" s="27"/>
    </row>
    <row r="702" spans="1:18">
      <c r="A702" s="28"/>
      <c r="B702" s="29"/>
      <c r="C702" s="29"/>
      <c r="D702" s="29"/>
      <c r="E702" s="29"/>
      <c r="H702" s="27"/>
      <c r="K702"/>
      <c r="P702" s="27"/>
      <c r="Q702" s="27"/>
      <c r="R702" s="27"/>
    </row>
    <row r="703" spans="1:18">
      <c r="A703" s="28"/>
      <c r="B703" s="29"/>
      <c r="C703" s="29"/>
      <c r="D703" s="29"/>
      <c r="E703" s="29"/>
      <c r="H703" s="27"/>
      <c r="K703"/>
      <c r="P703" s="27"/>
      <c r="Q703" s="27"/>
      <c r="R703" s="27"/>
    </row>
    <row r="704" spans="1:18">
      <c r="A704" s="28"/>
      <c r="B704" s="29"/>
      <c r="C704" s="29"/>
      <c r="D704" s="29"/>
      <c r="E704" s="29"/>
      <c r="H704" s="27"/>
      <c r="K704"/>
      <c r="P704" s="27"/>
      <c r="Q704" s="27"/>
      <c r="R704" s="27"/>
    </row>
    <row r="705" spans="1:18">
      <c r="A705" s="28"/>
      <c r="B705" s="29"/>
      <c r="C705" s="29"/>
      <c r="D705" s="29"/>
      <c r="E705" s="29"/>
      <c r="H705" s="27"/>
      <c r="K705"/>
      <c r="P705" s="27"/>
      <c r="Q705" s="27"/>
      <c r="R705" s="27"/>
    </row>
    <row r="706" spans="1:18">
      <c r="A706" s="28"/>
      <c r="B706" s="29"/>
      <c r="C706" s="29"/>
      <c r="D706" s="29"/>
      <c r="E706" s="29"/>
      <c r="H706" s="27"/>
      <c r="K706"/>
      <c r="P706" s="27"/>
      <c r="Q706" s="27"/>
      <c r="R706" s="27"/>
    </row>
    <row r="707" spans="1:18">
      <c r="A707" s="28"/>
      <c r="B707" s="29"/>
      <c r="C707" s="29"/>
      <c r="D707" s="29"/>
      <c r="E707" s="29"/>
      <c r="H707" s="27"/>
      <c r="K707"/>
      <c r="P707" s="27"/>
      <c r="Q707" s="27"/>
      <c r="R707" s="27"/>
    </row>
    <row r="708" spans="1:18">
      <c r="A708" s="28"/>
      <c r="B708" s="29"/>
      <c r="C708" s="29"/>
      <c r="D708" s="29"/>
      <c r="E708" s="29"/>
      <c r="H708" s="27"/>
      <c r="K708"/>
      <c r="P708" s="27"/>
      <c r="Q708" s="27"/>
      <c r="R708" s="27"/>
    </row>
    <row r="709" spans="1:18">
      <c r="A709" s="28"/>
      <c r="B709" s="29"/>
      <c r="C709" s="29"/>
      <c r="D709" s="29"/>
      <c r="E709" s="29"/>
      <c r="H709" s="27"/>
      <c r="K709"/>
      <c r="P709" s="27"/>
      <c r="Q709" s="27"/>
      <c r="R709" s="27"/>
    </row>
    <row r="710" spans="1:18">
      <c r="A710" s="28"/>
      <c r="B710" s="29"/>
      <c r="C710" s="29"/>
      <c r="D710" s="29"/>
      <c r="E710" s="29"/>
      <c r="H710" s="27"/>
      <c r="K710"/>
      <c r="P710" s="27"/>
      <c r="Q710" s="27"/>
      <c r="R710" s="27"/>
    </row>
    <row r="711" spans="1:18">
      <c r="A711" s="28"/>
      <c r="B711" s="29"/>
      <c r="C711" s="29"/>
      <c r="D711" s="29"/>
      <c r="E711" s="29"/>
      <c r="H711" s="27"/>
      <c r="K711"/>
      <c r="P711" s="27"/>
      <c r="Q711" s="27"/>
      <c r="R711" s="27"/>
    </row>
    <row r="712" spans="1:18">
      <c r="A712" s="28"/>
      <c r="B712" s="29"/>
      <c r="C712" s="29"/>
      <c r="D712" s="29"/>
      <c r="E712" s="29"/>
      <c r="H712" s="27"/>
      <c r="K712"/>
      <c r="P712" s="27"/>
      <c r="Q712" s="27"/>
      <c r="R712" s="27"/>
    </row>
    <row r="713" spans="1:18">
      <c r="A713" s="28"/>
      <c r="B713" s="29"/>
      <c r="C713" s="29"/>
      <c r="D713" s="29"/>
      <c r="E713" s="29"/>
      <c r="H713" s="27"/>
      <c r="K713"/>
      <c r="P713" s="27"/>
      <c r="Q713" s="27"/>
      <c r="R713" s="27"/>
    </row>
    <row r="714" spans="1:18">
      <c r="A714" s="28"/>
      <c r="B714" s="29"/>
      <c r="C714" s="29"/>
      <c r="D714" s="29"/>
      <c r="E714" s="29"/>
      <c r="H714" s="27"/>
      <c r="K714"/>
      <c r="P714" s="27"/>
      <c r="Q714" s="27"/>
      <c r="R714" s="27"/>
    </row>
    <row r="715" spans="1:18">
      <c r="A715" s="28"/>
      <c r="B715" s="29"/>
      <c r="C715" s="29"/>
      <c r="D715" s="29"/>
      <c r="E715" s="29"/>
      <c r="H715" s="27"/>
      <c r="K715"/>
      <c r="P715" s="27"/>
      <c r="Q715" s="27"/>
      <c r="R715" s="27"/>
    </row>
    <row r="716" spans="1:18">
      <c r="A716" s="28"/>
      <c r="B716" s="29"/>
      <c r="C716" s="29"/>
      <c r="D716" s="29"/>
      <c r="E716" s="29"/>
      <c r="H716" s="27"/>
      <c r="K716"/>
      <c r="P716" s="27"/>
      <c r="Q716" s="27"/>
      <c r="R716" s="27"/>
    </row>
    <row r="717" spans="1:18">
      <c r="A717" s="28"/>
      <c r="B717" s="29"/>
      <c r="C717" s="29"/>
      <c r="D717" s="29"/>
      <c r="E717" s="29"/>
      <c r="H717" s="27"/>
      <c r="K717"/>
      <c r="P717" s="27"/>
      <c r="Q717" s="27"/>
      <c r="R717" s="27"/>
    </row>
    <row r="718" spans="1:18">
      <c r="A718" s="28"/>
      <c r="B718" s="29"/>
      <c r="C718" s="29"/>
      <c r="D718" s="29"/>
      <c r="E718" s="29"/>
      <c r="H718" s="27"/>
      <c r="K718"/>
      <c r="P718" s="27"/>
      <c r="Q718" s="27"/>
      <c r="R718" s="27"/>
    </row>
    <row r="719" spans="1:18">
      <c r="A719" s="28"/>
      <c r="B719" s="29"/>
      <c r="C719" s="29"/>
      <c r="D719" s="29"/>
      <c r="E719" s="29"/>
      <c r="H719" s="27"/>
      <c r="K719"/>
      <c r="P719" s="27"/>
      <c r="Q719" s="27"/>
      <c r="R719" s="27"/>
    </row>
    <row r="720" spans="1:18">
      <c r="A720" s="28"/>
      <c r="B720" s="29"/>
      <c r="C720" s="29"/>
      <c r="D720" s="29"/>
      <c r="E720" s="29"/>
      <c r="H720" s="27"/>
      <c r="K720"/>
      <c r="P720" s="27"/>
      <c r="Q720" s="27"/>
      <c r="R720" s="27"/>
    </row>
    <row r="721" spans="1:18">
      <c r="A721" s="28"/>
      <c r="B721" s="29"/>
      <c r="C721" s="29"/>
      <c r="D721" s="29"/>
      <c r="E721" s="29"/>
      <c r="H721" s="27"/>
      <c r="K721"/>
      <c r="P721" s="27"/>
      <c r="Q721" s="27"/>
      <c r="R721" s="27"/>
    </row>
    <row r="722" spans="1:18">
      <c r="A722" s="28"/>
      <c r="B722" s="29"/>
      <c r="C722" s="29"/>
      <c r="D722" s="29"/>
      <c r="E722" s="29"/>
      <c r="H722" s="27"/>
      <c r="K722"/>
      <c r="P722" s="27"/>
      <c r="Q722" s="27"/>
      <c r="R722" s="27"/>
    </row>
    <row r="723" spans="1:18">
      <c r="A723" s="28"/>
      <c r="B723" s="29"/>
      <c r="C723" s="29"/>
      <c r="D723" s="29"/>
      <c r="E723" s="29"/>
      <c r="H723" s="27"/>
      <c r="K723"/>
      <c r="P723" s="27"/>
      <c r="Q723" s="27"/>
      <c r="R723" s="27"/>
    </row>
    <row r="724" spans="1:18">
      <c r="A724" s="28"/>
      <c r="B724" s="29"/>
      <c r="C724" s="29"/>
      <c r="D724" s="29"/>
      <c r="E724" s="29"/>
      <c r="H724" s="27"/>
      <c r="K724"/>
      <c r="P724" s="27"/>
      <c r="Q724" s="27"/>
      <c r="R724" s="27"/>
    </row>
    <row r="725" spans="1:18">
      <c r="A725" s="28"/>
      <c r="B725" s="29"/>
      <c r="C725" s="29"/>
      <c r="D725" s="29"/>
      <c r="E725" s="29"/>
      <c r="H725" s="27"/>
      <c r="K725"/>
      <c r="P725" s="27"/>
      <c r="Q725" s="27"/>
      <c r="R725" s="27"/>
    </row>
    <row r="726" spans="1:18">
      <c r="A726" s="28"/>
      <c r="B726" s="29"/>
      <c r="C726" s="29"/>
      <c r="D726" s="29"/>
      <c r="E726" s="29"/>
      <c r="H726" s="27"/>
      <c r="K726"/>
      <c r="P726" s="27"/>
      <c r="Q726" s="27"/>
      <c r="R726" s="27"/>
    </row>
    <row r="727" spans="1:18">
      <c r="A727" s="28"/>
      <c r="B727" s="29"/>
      <c r="C727" s="29"/>
      <c r="D727" s="29"/>
      <c r="E727" s="29"/>
      <c r="H727" s="27"/>
      <c r="K727"/>
      <c r="P727" s="27"/>
      <c r="Q727" s="27"/>
      <c r="R727" s="27"/>
    </row>
    <row r="728" spans="1:18">
      <c r="A728" s="28"/>
      <c r="B728" s="29"/>
      <c r="C728" s="29"/>
      <c r="D728" s="29"/>
      <c r="E728" s="29"/>
      <c r="H728" s="27"/>
      <c r="K728"/>
      <c r="P728" s="27"/>
      <c r="Q728" s="27"/>
      <c r="R728" s="27"/>
    </row>
    <row r="729" spans="1:18">
      <c r="A729" s="28"/>
      <c r="B729" s="29"/>
      <c r="C729" s="29"/>
      <c r="D729" s="29"/>
      <c r="E729" s="29"/>
      <c r="H729" s="27"/>
      <c r="K729"/>
      <c r="P729" s="27"/>
      <c r="Q729" s="27"/>
      <c r="R729" s="27"/>
    </row>
    <row r="730" spans="1:18">
      <c r="A730" s="28"/>
      <c r="B730" s="29"/>
      <c r="C730" s="29"/>
      <c r="D730" s="29"/>
      <c r="E730" s="29"/>
      <c r="H730" s="27"/>
      <c r="K730"/>
      <c r="P730" s="27"/>
      <c r="Q730" s="27"/>
      <c r="R730" s="27"/>
    </row>
    <row r="731" spans="1:18">
      <c r="A731" s="28"/>
      <c r="B731" s="29"/>
      <c r="C731" s="29"/>
      <c r="D731" s="29"/>
      <c r="E731" s="29"/>
      <c r="H731" s="27"/>
      <c r="K731"/>
      <c r="P731" s="27"/>
      <c r="Q731" s="27"/>
      <c r="R731" s="27"/>
    </row>
    <row r="732" spans="1:18">
      <c r="A732" s="28"/>
      <c r="B732" s="29"/>
      <c r="C732" s="29"/>
      <c r="D732" s="29"/>
      <c r="E732" s="29"/>
      <c r="H732" s="27"/>
      <c r="K732"/>
      <c r="P732" s="27"/>
      <c r="Q732" s="27"/>
      <c r="R732" s="27"/>
    </row>
    <row r="733" spans="1:18">
      <c r="A733" s="28"/>
      <c r="B733" s="29"/>
      <c r="C733" s="29"/>
      <c r="D733" s="29"/>
      <c r="E733" s="29"/>
      <c r="H733" s="27"/>
      <c r="K733"/>
      <c r="P733" s="27"/>
      <c r="Q733" s="27"/>
      <c r="R733" s="27"/>
    </row>
    <row r="734" spans="1:18">
      <c r="A734" s="28"/>
      <c r="B734" s="29"/>
      <c r="C734" s="29"/>
      <c r="D734" s="29"/>
      <c r="E734" s="29"/>
      <c r="H734" s="27"/>
      <c r="K734"/>
      <c r="P734" s="27"/>
      <c r="Q734" s="27"/>
      <c r="R734" s="27"/>
    </row>
    <row r="735" spans="1:18">
      <c r="A735" s="28"/>
      <c r="B735" s="29"/>
      <c r="C735" s="29"/>
      <c r="D735" s="29"/>
      <c r="E735" s="29"/>
      <c r="H735" s="27"/>
      <c r="K735"/>
      <c r="P735" s="27"/>
      <c r="Q735" s="27"/>
      <c r="R735" s="27"/>
    </row>
    <row r="736" spans="1:18">
      <c r="A736" s="28"/>
      <c r="B736" s="29"/>
      <c r="C736" s="29"/>
      <c r="D736" s="29"/>
      <c r="E736" s="29"/>
      <c r="H736" s="27"/>
      <c r="K736"/>
      <c r="P736" s="27"/>
      <c r="Q736" s="27"/>
      <c r="R736" s="27"/>
    </row>
    <row r="737" spans="1:18">
      <c r="A737" s="28"/>
      <c r="B737" s="29"/>
      <c r="C737" s="29"/>
      <c r="D737" s="29"/>
      <c r="E737" s="29"/>
      <c r="H737" s="27"/>
      <c r="K737"/>
      <c r="P737" s="27"/>
      <c r="Q737" s="27"/>
      <c r="R737" s="27"/>
    </row>
    <row r="738" spans="1:18">
      <c r="A738" s="28"/>
      <c r="B738" s="29"/>
      <c r="C738" s="29"/>
      <c r="D738" s="29"/>
      <c r="E738" s="29"/>
      <c r="H738" s="27"/>
      <c r="K738"/>
      <c r="P738" s="27"/>
      <c r="Q738" s="27"/>
      <c r="R738" s="27"/>
    </row>
    <row r="739" spans="1:18">
      <c r="A739" s="28"/>
      <c r="B739" s="29"/>
      <c r="C739" s="29"/>
      <c r="D739" s="29"/>
      <c r="E739" s="29"/>
      <c r="H739" s="27"/>
      <c r="K739"/>
      <c r="P739" s="27"/>
      <c r="Q739" s="27"/>
      <c r="R739" s="27"/>
    </row>
    <row r="740" spans="1:18">
      <c r="A740" s="28"/>
      <c r="B740" s="29"/>
      <c r="C740" s="29"/>
      <c r="D740" s="29"/>
      <c r="E740" s="29"/>
      <c r="H740" s="27"/>
      <c r="K740"/>
      <c r="P740" s="27"/>
      <c r="Q740" s="27"/>
      <c r="R740" s="27"/>
    </row>
    <row r="741" spans="1:18">
      <c r="A741" s="28"/>
      <c r="B741" s="29"/>
      <c r="C741" s="29"/>
      <c r="D741" s="29"/>
      <c r="E741" s="29"/>
      <c r="H741" s="27"/>
      <c r="K741"/>
      <c r="P741" s="27"/>
      <c r="Q741" s="27"/>
      <c r="R741" s="27"/>
    </row>
    <row r="742" spans="1:18">
      <c r="A742" s="28"/>
      <c r="B742" s="29"/>
      <c r="C742" s="29"/>
      <c r="D742" s="29"/>
      <c r="E742" s="29"/>
      <c r="H742" s="27"/>
      <c r="K742"/>
      <c r="P742" s="27"/>
      <c r="Q742" s="27"/>
      <c r="R742" s="27"/>
    </row>
    <row r="743" spans="1:18">
      <c r="A743" s="28"/>
      <c r="B743" s="29"/>
      <c r="C743" s="29"/>
      <c r="D743" s="29"/>
      <c r="E743" s="29"/>
      <c r="H743" s="27"/>
      <c r="K743"/>
      <c r="P743" s="27"/>
      <c r="Q743" s="27"/>
      <c r="R743" s="27"/>
    </row>
    <row r="744" spans="1:18">
      <c r="A744" s="28"/>
      <c r="B744" s="29"/>
      <c r="C744" s="29"/>
      <c r="D744" s="29"/>
      <c r="E744" s="29"/>
      <c r="H744" s="27"/>
      <c r="K744"/>
      <c r="P744" s="27"/>
      <c r="Q744" s="27"/>
      <c r="R744" s="27"/>
    </row>
    <row r="745" spans="1:18">
      <c r="A745" s="28"/>
      <c r="B745" s="29"/>
      <c r="C745" s="29"/>
      <c r="D745" s="29"/>
      <c r="E745" s="29"/>
      <c r="H745" s="27"/>
      <c r="K745"/>
      <c r="P745" s="27"/>
      <c r="Q745" s="27"/>
      <c r="R745" s="27"/>
    </row>
    <row r="746" spans="1:18">
      <c r="A746" s="28"/>
      <c r="B746" s="29"/>
      <c r="C746" s="29"/>
      <c r="D746" s="29"/>
      <c r="E746" s="29"/>
      <c r="H746" s="27"/>
      <c r="K746"/>
      <c r="P746" s="27"/>
      <c r="Q746" s="27"/>
      <c r="R746" s="27"/>
    </row>
    <row r="747" spans="1:18">
      <c r="A747" s="28"/>
      <c r="B747" s="29"/>
      <c r="C747" s="29"/>
      <c r="D747" s="29"/>
      <c r="E747" s="29"/>
      <c r="H747" s="27"/>
      <c r="K747"/>
      <c r="P747" s="27"/>
      <c r="Q747" s="27"/>
      <c r="R747" s="27"/>
    </row>
    <row r="748" spans="1:18">
      <c r="A748" s="28"/>
      <c r="B748" s="29"/>
      <c r="C748" s="29"/>
      <c r="D748" s="29"/>
      <c r="E748" s="29"/>
      <c r="H748" s="27"/>
      <c r="K748"/>
      <c r="P748" s="27"/>
      <c r="Q748" s="27"/>
      <c r="R748" s="27"/>
    </row>
    <row r="749" spans="1:18">
      <c r="A749" s="28"/>
      <c r="B749" s="29"/>
      <c r="C749" s="29"/>
      <c r="D749" s="29"/>
      <c r="E749" s="29"/>
      <c r="H749" s="27"/>
      <c r="K749"/>
      <c r="P749" s="27"/>
      <c r="Q749" s="27"/>
      <c r="R749" s="27"/>
    </row>
    <row r="750" spans="1:18">
      <c r="A750" s="28"/>
      <c r="B750" s="29"/>
      <c r="C750" s="29"/>
      <c r="D750" s="29"/>
      <c r="E750" s="29"/>
      <c r="H750" s="27"/>
      <c r="K750"/>
      <c r="P750" s="27"/>
      <c r="Q750" s="27"/>
      <c r="R750" s="27"/>
    </row>
    <row r="751" spans="1:18">
      <c r="A751" s="28"/>
      <c r="B751" s="29"/>
      <c r="C751" s="29"/>
      <c r="D751" s="29"/>
      <c r="E751" s="29"/>
      <c r="H751" s="27"/>
      <c r="K751"/>
      <c r="P751" s="27"/>
      <c r="Q751" s="27"/>
      <c r="R751" s="27"/>
    </row>
    <row r="752" spans="1:18">
      <c r="A752" s="28"/>
      <c r="B752" s="29"/>
      <c r="C752" s="29"/>
      <c r="D752" s="29"/>
      <c r="E752" s="29"/>
      <c r="H752" s="27"/>
      <c r="K752"/>
      <c r="P752" s="27"/>
      <c r="Q752" s="27"/>
      <c r="R752" s="27"/>
    </row>
    <row r="753" spans="1:18">
      <c r="A753" s="28"/>
      <c r="B753" s="29"/>
      <c r="C753" s="29"/>
      <c r="D753" s="29"/>
      <c r="E753" s="29"/>
      <c r="H753" s="27"/>
      <c r="K753"/>
      <c r="P753" s="27"/>
      <c r="Q753" s="27"/>
      <c r="R753" s="27"/>
    </row>
    <row r="754" spans="1:18">
      <c r="A754" s="28"/>
      <c r="B754" s="29"/>
      <c r="C754" s="29"/>
      <c r="D754" s="29"/>
      <c r="E754" s="29"/>
      <c r="H754" s="27"/>
      <c r="K754"/>
      <c r="P754" s="27"/>
      <c r="Q754" s="27"/>
      <c r="R754" s="27"/>
    </row>
    <row r="755" spans="1:18">
      <c r="A755" s="28"/>
      <c r="B755" s="29"/>
      <c r="C755" s="29"/>
      <c r="D755" s="29"/>
      <c r="E755" s="29"/>
      <c r="H755" s="27"/>
      <c r="K755"/>
      <c r="P755" s="27"/>
      <c r="Q755" s="27"/>
      <c r="R755" s="27"/>
    </row>
    <row r="756" spans="1:18">
      <c r="A756" s="28"/>
      <c r="B756" s="29"/>
      <c r="C756" s="29"/>
      <c r="D756" s="29"/>
      <c r="E756" s="29"/>
      <c r="H756" s="27"/>
      <c r="K756"/>
      <c r="P756" s="27"/>
      <c r="Q756" s="27"/>
      <c r="R756" s="27"/>
    </row>
    <row r="757" spans="1:18">
      <c r="A757" s="28"/>
      <c r="B757" s="29"/>
      <c r="C757" s="29"/>
      <c r="D757" s="29"/>
      <c r="E757" s="29"/>
      <c r="H757" s="27"/>
      <c r="K757"/>
      <c r="P757" s="27"/>
      <c r="Q757" s="27"/>
      <c r="R757" s="27"/>
    </row>
    <row r="758" spans="1:18">
      <c r="A758" s="28"/>
      <c r="B758" s="29"/>
      <c r="C758" s="29"/>
      <c r="D758" s="29"/>
      <c r="E758" s="29"/>
      <c r="H758" s="27"/>
      <c r="K758"/>
      <c r="P758" s="27"/>
      <c r="Q758" s="27"/>
      <c r="R758" s="27"/>
    </row>
    <row r="759" spans="1:18">
      <c r="A759" s="28"/>
      <c r="B759" s="29"/>
      <c r="C759" s="29"/>
      <c r="D759" s="29"/>
      <c r="E759" s="29"/>
      <c r="H759" s="27"/>
      <c r="K759"/>
      <c r="P759" s="27"/>
      <c r="Q759" s="27"/>
      <c r="R759" s="27"/>
    </row>
    <row r="760" spans="1:18">
      <c r="A760" s="28"/>
      <c r="B760" s="29"/>
      <c r="C760" s="29"/>
      <c r="D760" s="29"/>
      <c r="E760" s="29"/>
      <c r="H760" s="27"/>
      <c r="K760"/>
      <c r="P760" s="27"/>
      <c r="Q760" s="27"/>
      <c r="R760" s="27"/>
    </row>
    <row r="761" spans="1:18">
      <c r="A761" s="28"/>
      <c r="B761" s="29"/>
      <c r="C761" s="29"/>
      <c r="D761" s="29"/>
      <c r="E761" s="29"/>
      <c r="H761" s="27"/>
      <c r="K761"/>
      <c r="P761" s="27"/>
      <c r="Q761" s="27"/>
      <c r="R761" s="27"/>
    </row>
    <row r="762" spans="1:18">
      <c r="A762" s="28"/>
      <c r="B762" s="29"/>
      <c r="C762" s="29"/>
      <c r="D762" s="29"/>
      <c r="E762" s="29"/>
      <c r="H762" s="27"/>
      <c r="K762"/>
      <c r="P762" s="27"/>
      <c r="Q762" s="27"/>
      <c r="R762" s="27"/>
    </row>
    <row r="763" spans="1:18">
      <c r="A763" s="28"/>
      <c r="B763" s="29"/>
      <c r="C763" s="29"/>
      <c r="D763" s="29"/>
      <c r="E763" s="29"/>
      <c r="H763" s="27"/>
      <c r="K763"/>
      <c r="P763" s="27"/>
      <c r="Q763" s="27"/>
      <c r="R763" s="27"/>
    </row>
    <row r="764" spans="1:18">
      <c r="A764" s="28"/>
      <c r="B764" s="29"/>
      <c r="C764" s="29"/>
      <c r="D764" s="29"/>
      <c r="E764" s="29"/>
      <c r="H764" s="27"/>
      <c r="K764"/>
      <c r="P764" s="27"/>
      <c r="Q764" s="27"/>
      <c r="R764" s="27"/>
    </row>
    <row r="765" spans="1:18">
      <c r="A765" s="28"/>
      <c r="B765" s="29"/>
      <c r="C765" s="29"/>
      <c r="D765" s="29"/>
      <c r="E765" s="29"/>
      <c r="H765" s="27"/>
      <c r="K765"/>
      <c r="P765" s="27"/>
      <c r="Q765" s="27"/>
      <c r="R765" s="27"/>
    </row>
    <row r="766" spans="1:18">
      <c r="A766" s="28"/>
      <c r="B766" s="29"/>
      <c r="C766" s="29"/>
      <c r="D766" s="29"/>
      <c r="E766" s="29"/>
      <c r="H766" s="27"/>
      <c r="K766"/>
      <c r="P766" s="27"/>
      <c r="Q766" s="27"/>
      <c r="R766" s="27"/>
    </row>
    <row r="767" spans="1:18">
      <c r="A767" s="28"/>
      <c r="B767" s="29"/>
      <c r="C767" s="29"/>
      <c r="D767" s="29"/>
      <c r="E767" s="29"/>
      <c r="H767" s="27"/>
      <c r="K767"/>
      <c r="P767" s="27"/>
      <c r="Q767" s="27"/>
      <c r="R767" s="27"/>
    </row>
    <row r="768" spans="1:18">
      <c r="A768" s="28"/>
      <c r="B768" s="29"/>
      <c r="C768" s="29"/>
      <c r="D768" s="29"/>
      <c r="E768" s="29"/>
      <c r="H768" s="27"/>
      <c r="K768"/>
      <c r="P768" s="27"/>
      <c r="Q768" s="27"/>
      <c r="R768" s="27"/>
    </row>
    <row r="769" spans="1:18">
      <c r="A769" s="28"/>
      <c r="B769" s="29"/>
      <c r="C769" s="29"/>
      <c r="D769" s="29"/>
      <c r="E769" s="29"/>
      <c r="H769" s="27"/>
      <c r="K769"/>
      <c r="P769" s="27"/>
      <c r="Q769" s="27"/>
      <c r="R769" s="27"/>
    </row>
    <row r="770" spans="1:18">
      <c r="A770" s="28"/>
      <c r="B770" s="29"/>
      <c r="C770" s="29"/>
      <c r="D770" s="29"/>
      <c r="E770" s="29"/>
      <c r="H770" s="27"/>
      <c r="K770"/>
      <c r="P770" s="27"/>
      <c r="Q770" s="27"/>
      <c r="R770" s="27"/>
    </row>
    <row r="771" spans="1:18">
      <c r="A771" s="28"/>
      <c r="B771" s="29"/>
      <c r="C771" s="29"/>
      <c r="D771" s="29"/>
      <c r="E771" s="29"/>
      <c r="H771" s="27"/>
      <c r="K771"/>
      <c r="P771" s="27"/>
      <c r="Q771" s="27"/>
      <c r="R771" s="27"/>
    </row>
    <row r="772" spans="1:18">
      <c r="A772" s="28"/>
      <c r="B772" s="29"/>
      <c r="C772" s="29"/>
      <c r="D772" s="29"/>
      <c r="E772" s="29"/>
      <c r="H772" s="27"/>
      <c r="K772"/>
      <c r="P772" s="27"/>
      <c r="Q772" s="27"/>
      <c r="R772" s="27"/>
    </row>
    <row r="773" spans="1:18">
      <c r="A773" s="28"/>
      <c r="B773" s="29"/>
      <c r="C773" s="29"/>
      <c r="D773" s="29"/>
      <c r="E773" s="29"/>
      <c r="H773" s="27"/>
      <c r="K773"/>
      <c r="P773" s="27"/>
      <c r="Q773" s="27"/>
      <c r="R773" s="27"/>
    </row>
    <row r="774" spans="1:18">
      <c r="A774" s="28"/>
      <c r="B774" s="29"/>
      <c r="C774" s="29"/>
      <c r="D774" s="29"/>
      <c r="E774" s="29"/>
      <c r="H774" s="27"/>
      <c r="K774"/>
      <c r="P774" s="27"/>
      <c r="Q774" s="27"/>
      <c r="R774" s="27"/>
    </row>
    <row r="775" spans="1:18">
      <c r="A775" s="28"/>
      <c r="B775" s="29"/>
      <c r="C775" s="29"/>
      <c r="D775" s="29"/>
      <c r="E775" s="29"/>
      <c r="H775" s="27"/>
      <c r="K775"/>
      <c r="P775" s="27"/>
      <c r="Q775" s="27"/>
      <c r="R775" s="27"/>
    </row>
    <row r="776" spans="1:18">
      <c r="A776" s="28"/>
      <c r="B776" s="29"/>
      <c r="C776" s="29"/>
      <c r="D776" s="29"/>
      <c r="E776" s="29"/>
      <c r="H776" s="27"/>
      <c r="K776"/>
      <c r="P776" s="27"/>
      <c r="Q776" s="27"/>
      <c r="R776" s="27"/>
    </row>
    <row r="777" spans="1:18">
      <c r="A777" s="28"/>
      <c r="B777" s="29"/>
      <c r="C777" s="29"/>
      <c r="D777" s="29"/>
      <c r="E777" s="29"/>
      <c r="H777" s="27"/>
      <c r="K777"/>
      <c r="P777" s="27"/>
      <c r="Q777" s="27"/>
      <c r="R777" s="27"/>
    </row>
    <row r="778" spans="1:18">
      <c r="A778" s="28"/>
      <c r="B778" s="29"/>
      <c r="C778" s="29"/>
      <c r="D778" s="29"/>
      <c r="E778" s="29"/>
      <c r="H778" s="27"/>
      <c r="K778"/>
      <c r="P778" s="27"/>
      <c r="Q778" s="27"/>
      <c r="R778" s="27"/>
    </row>
    <row r="779" spans="1:18">
      <c r="A779" s="28"/>
      <c r="B779" s="29"/>
      <c r="C779" s="29"/>
      <c r="D779" s="29"/>
      <c r="E779" s="29"/>
      <c r="H779" s="27"/>
      <c r="K779"/>
      <c r="P779" s="27"/>
      <c r="Q779" s="27"/>
      <c r="R779" s="27"/>
    </row>
    <row r="780" spans="1:18">
      <c r="A780" s="28"/>
      <c r="B780" s="29"/>
      <c r="C780" s="29"/>
      <c r="D780" s="29"/>
      <c r="E780" s="29"/>
      <c r="H780" s="27"/>
      <c r="K780"/>
      <c r="P780" s="27"/>
      <c r="Q780" s="27"/>
      <c r="R780" s="27"/>
    </row>
    <row r="781" spans="1:18">
      <c r="A781" s="28"/>
      <c r="B781" s="29"/>
      <c r="C781" s="29"/>
      <c r="D781" s="29"/>
      <c r="E781" s="29"/>
      <c r="H781" s="27"/>
      <c r="K781"/>
      <c r="P781" s="27"/>
      <c r="Q781" s="27"/>
      <c r="R781" s="27"/>
    </row>
    <row r="782" spans="1:18">
      <c r="A782" s="28"/>
      <c r="B782" s="29"/>
      <c r="C782" s="29"/>
      <c r="D782" s="29"/>
      <c r="E782" s="29"/>
      <c r="H782" s="27"/>
      <c r="K782"/>
      <c r="P782" s="27"/>
      <c r="Q782" s="27"/>
      <c r="R782" s="27"/>
    </row>
    <row r="783" spans="1:18">
      <c r="A783" s="28"/>
      <c r="B783" s="29"/>
      <c r="C783" s="29"/>
      <c r="D783" s="29"/>
      <c r="E783" s="29"/>
      <c r="H783" s="27"/>
      <c r="K783"/>
      <c r="P783" s="27"/>
      <c r="Q783" s="27"/>
      <c r="R783" s="27"/>
    </row>
    <row r="784" spans="1:18">
      <c r="A784" s="28"/>
      <c r="B784" s="29"/>
      <c r="C784" s="29"/>
      <c r="D784" s="29"/>
      <c r="E784" s="29"/>
      <c r="H784" s="27"/>
      <c r="K784"/>
      <c r="P784" s="27"/>
      <c r="Q784" s="27"/>
      <c r="R784" s="27"/>
    </row>
    <row r="785" spans="1:18">
      <c r="A785" s="28"/>
      <c r="B785" s="29"/>
      <c r="C785" s="29"/>
      <c r="D785" s="29"/>
      <c r="E785" s="29"/>
      <c r="H785" s="27"/>
      <c r="K785"/>
      <c r="P785" s="27"/>
      <c r="Q785" s="27"/>
      <c r="R785" s="27"/>
    </row>
    <row r="786" spans="1:18">
      <c r="A786" s="28"/>
      <c r="B786" s="29"/>
      <c r="C786" s="29"/>
      <c r="D786" s="29"/>
      <c r="E786" s="29"/>
      <c r="H786" s="27"/>
      <c r="K786"/>
      <c r="P786" s="27"/>
      <c r="Q786" s="27"/>
      <c r="R786" s="27"/>
    </row>
    <row r="787" spans="1:18">
      <c r="A787" s="28"/>
      <c r="B787" s="29"/>
      <c r="C787" s="29"/>
      <c r="D787" s="29"/>
      <c r="E787" s="29"/>
      <c r="H787" s="27"/>
      <c r="K787"/>
      <c r="P787" s="27"/>
      <c r="Q787" s="27"/>
      <c r="R787" s="27"/>
    </row>
    <row r="788" spans="1:18">
      <c r="A788" s="28"/>
      <c r="B788" s="29"/>
      <c r="C788" s="29"/>
      <c r="D788" s="29"/>
      <c r="E788" s="29"/>
      <c r="H788" s="27"/>
      <c r="K788"/>
      <c r="P788" s="27"/>
      <c r="Q788" s="27"/>
      <c r="R788" s="27"/>
    </row>
    <row r="789" spans="1:18">
      <c r="A789" s="28"/>
      <c r="B789" s="29"/>
      <c r="C789" s="29"/>
      <c r="D789" s="29"/>
      <c r="E789" s="29"/>
      <c r="H789" s="27"/>
      <c r="K789"/>
      <c r="P789" s="27"/>
      <c r="Q789" s="27"/>
      <c r="R789" s="27"/>
    </row>
    <row r="790" spans="1:18">
      <c r="A790" s="28"/>
      <c r="B790" s="29"/>
      <c r="C790" s="29"/>
      <c r="D790" s="29"/>
      <c r="E790" s="29"/>
      <c r="H790" s="27"/>
      <c r="K790"/>
      <c r="P790" s="27"/>
      <c r="Q790" s="27"/>
      <c r="R790" s="27"/>
    </row>
    <row r="791" spans="1:18">
      <c r="A791" s="28"/>
      <c r="B791" s="29"/>
      <c r="C791" s="29"/>
      <c r="D791" s="29"/>
      <c r="E791" s="29"/>
      <c r="H791" s="27"/>
      <c r="K791"/>
      <c r="P791" s="27"/>
      <c r="Q791" s="27"/>
      <c r="R791" s="27"/>
    </row>
    <row r="792" spans="1:18">
      <c r="A792" s="28"/>
      <c r="B792" s="29"/>
      <c r="C792" s="29"/>
      <c r="D792" s="29"/>
      <c r="E792" s="29"/>
      <c r="H792" s="27"/>
      <c r="K792"/>
      <c r="P792" s="27"/>
      <c r="Q792" s="27"/>
      <c r="R792" s="27"/>
    </row>
    <row r="793" spans="1:18">
      <c r="A793" s="28"/>
      <c r="B793" s="29"/>
      <c r="C793" s="29"/>
      <c r="D793" s="29"/>
      <c r="E793" s="29"/>
      <c r="H793" s="27"/>
      <c r="K793"/>
      <c r="P793" s="27"/>
      <c r="Q793" s="27"/>
      <c r="R793" s="27"/>
    </row>
    <row r="794" spans="1:18">
      <c r="A794" s="28"/>
      <c r="B794" s="29"/>
      <c r="C794" s="29"/>
      <c r="D794" s="29"/>
      <c r="E794" s="29"/>
      <c r="H794" s="27"/>
      <c r="K794"/>
      <c r="P794" s="27"/>
      <c r="Q794" s="27"/>
      <c r="R794" s="27"/>
    </row>
    <row r="795" spans="1:18">
      <c r="A795" s="28"/>
      <c r="B795" s="29"/>
      <c r="C795" s="29"/>
      <c r="D795" s="29"/>
      <c r="E795" s="29"/>
      <c r="H795" s="27"/>
      <c r="K795"/>
      <c r="P795" s="27"/>
      <c r="Q795" s="27"/>
      <c r="R795" s="27"/>
    </row>
    <row r="796" spans="1:18">
      <c r="A796" s="28"/>
      <c r="B796" s="29"/>
      <c r="C796" s="29"/>
      <c r="D796" s="29"/>
      <c r="E796" s="29"/>
      <c r="H796" s="27"/>
      <c r="K796"/>
      <c r="P796" s="27"/>
      <c r="Q796" s="27"/>
      <c r="R796" s="27"/>
    </row>
    <row r="797" spans="1:18">
      <c r="A797" s="28"/>
      <c r="B797" s="29"/>
      <c r="C797" s="29"/>
      <c r="D797" s="29"/>
      <c r="E797" s="29"/>
      <c r="H797" s="27"/>
      <c r="K797"/>
      <c r="P797" s="27"/>
      <c r="Q797" s="27"/>
      <c r="R797" s="27"/>
    </row>
    <row r="798" spans="1:18">
      <c r="A798" s="28"/>
      <c r="B798" s="29"/>
      <c r="C798" s="29"/>
      <c r="D798" s="29"/>
      <c r="E798" s="29"/>
      <c r="H798" s="27"/>
      <c r="K798"/>
      <c r="P798" s="27"/>
      <c r="Q798" s="27"/>
      <c r="R798" s="27"/>
    </row>
    <row r="799" spans="1:18">
      <c r="A799" s="28"/>
      <c r="B799" s="29"/>
      <c r="C799" s="29"/>
      <c r="D799" s="29"/>
      <c r="E799" s="29"/>
      <c r="H799" s="27"/>
      <c r="K799"/>
      <c r="P799" s="27"/>
      <c r="Q799" s="27"/>
      <c r="R799" s="27"/>
    </row>
    <row r="800" spans="1:18">
      <c r="A800" s="28"/>
      <c r="B800" s="29"/>
      <c r="C800" s="29"/>
      <c r="D800" s="29"/>
      <c r="E800" s="29"/>
      <c r="H800" s="27"/>
      <c r="K800"/>
      <c r="P800" s="27"/>
      <c r="Q800" s="27"/>
      <c r="R800" s="27"/>
    </row>
    <row r="801" spans="1:18">
      <c r="A801" s="28"/>
      <c r="B801" s="29"/>
      <c r="C801" s="29"/>
      <c r="D801" s="29"/>
      <c r="E801" s="29"/>
      <c r="H801" s="27"/>
      <c r="K801"/>
      <c r="P801" s="27"/>
      <c r="Q801" s="27"/>
      <c r="R801" s="27"/>
    </row>
    <row r="802" spans="1:18">
      <c r="A802" s="28"/>
      <c r="B802" s="29"/>
      <c r="C802" s="29"/>
      <c r="D802" s="29"/>
      <c r="E802" s="29"/>
      <c r="H802" s="27"/>
      <c r="K802"/>
      <c r="P802" s="27"/>
      <c r="Q802" s="27"/>
      <c r="R802" s="27"/>
    </row>
    <row r="803" spans="1:18">
      <c r="A803" s="28"/>
      <c r="B803" s="29"/>
      <c r="C803" s="29"/>
      <c r="D803" s="29"/>
      <c r="E803" s="29"/>
      <c r="H803" s="27"/>
      <c r="K803"/>
      <c r="P803" s="27"/>
      <c r="Q803" s="27"/>
      <c r="R803" s="27"/>
    </row>
    <row r="804" spans="1:18">
      <c r="A804" s="28"/>
      <c r="B804" s="29"/>
      <c r="C804" s="29"/>
      <c r="D804" s="29"/>
      <c r="E804" s="29"/>
      <c r="H804" s="27"/>
      <c r="K804"/>
      <c r="P804" s="27"/>
      <c r="Q804" s="27"/>
      <c r="R804" s="27"/>
    </row>
    <row r="805" spans="1:18">
      <c r="A805" s="28"/>
      <c r="B805" s="29"/>
      <c r="C805" s="29"/>
      <c r="D805" s="29"/>
      <c r="E805" s="29"/>
      <c r="H805" s="27"/>
      <c r="K805"/>
      <c r="P805" s="27"/>
      <c r="Q805" s="27"/>
      <c r="R805" s="27"/>
    </row>
    <row r="806" spans="1:18">
      <c r="A806" s="28"/>
      <c r="B806" s="29"/>
      <c r="C806" s="29"/>
      <c r="D806" s="29"/>
      <c r="E806" s="29"/>
      <c r="H806" s="27"/>
      <c r="K806"/>
      <c r="P806" s="27"/>
      <c r="Q806" s="27"/>
      <c r="R806" s="27"/>
    </row>
    <row r="807" spans="1:18">
      <c r="A807" s="28"/>
      <c r="B807" s="29"/>
      <c r="C807" s="29"/>
      <c r="D807" s="29"/>
      <c r="E807" s="29"/>
      <c r="H807" s="27"/>
      <c r="K807"/>
      <c r="P807" s="27"/>
      <c r="Q807" s="27"/>
      <c r="R807" s="27"/>
    </row>
    <row r="808" spans="1:18">
      <c r="A808" s="28"/>
      <c r="B808" s="29"/>
      <c r="C808" s="29"/>
      <c r="D808" s="29"/>
      <c r="E808" s="29"/>
      <c r="H808" s="27"/>
      <c r="K808"/>
      <c r="P808" s="27"/>
      <c r="Q808" s="27"/>
      <c r="R808" s="27"/>
    </row>
    <row r="809" spans="1:18">
      <c r="A809" s="28"/>
      <c r="B809" s="29"/>
      <c r="C809" s="29"/>
      <c r="D809" s="29"/>
      <c r="E809" s="29"/>
      <c r="H809" s="27"/>
      <c r="K809"/>
      <c r="P809" s="27"/>
      <c r="Q809" s="27"/>
      <c r="R809" s="27"/>
    </row>
    <row r="810" spans="1:18">
      <c r="A810" s="28"/>
      <c r="B810" s="29"/>
      <c r="C810" s="29"/>
      <c r="D810" s="29"/>
      <c r="E810" s="29"/>
      <c r="H810" s="27"/>
      <c r="K810"/>
      <c r="P810" s="27"/>
      <c r="Q810" s="27"/>
      <c r="R810" s="27"/>
    </row>
    <row r="811" spans="1:18">
      <c r="A811" s="28"/>
      <c r="B811" s="29"/>
      <c r="C811" s="29"/>
      <c r="D811" s="29"/>
      <c r="E811" s="29"/>
      <c r="H811" s="27"/>
      <c r="K811"/>
      <c r="P811" s="27"/>
      <c r="Q811" s="27"/>
      <c r="R811" s="27"/>
    </row>
    <row r="812" spans="1:18">
      <c r="A812" s="28"/>
      <c r="B812" s="29"/>
      <c r="C812" s="29"/>
      <c r="D812" s="29"/>
      <c r="E812" s="29"/>
      <c r="H812" s="27"/>
      <c r="K812"/>
      <c r="P812" s="27"/>
      <c r="Q812" s="27"/>
      <c r="R812" s="27"/>
    </row>
    <row r="813" spans="1:18">
      <c r="A813" s="28"/>
      <c r="B813" s="29"/>
      <c r="C813" s="29"/>
      <c r="D813" s="29"/>
      <c r="E813" s="29"/>
      <c r="H813" s="27"/>
      <c r="K813"/>
      <c r="P813" s="27"/>
      <c r="Q813" s="27"/>
      <c r="R813" s="27"/>
    </row>
    <row r="814" spans="1:18">
      <c r="A814" s="28"/>
      <c r="B814" s="29"/>
      <c r="C814" s="29"/>
      <c r="D814" s="29"/>
      <c r="E814" s="29"/>
      <c r="H814" s="27"/>
      <c r="K814"/>
      <c r="P814" s="27"/>
      <c r="Q814" s="27"/>
      <c r="R814" s="27"/>
    </row>
    <row r="815" spans="1:18">
      <c r="A815" s="28"/>
      <c r="B815" s="29"/>
      <c r="C815" s="29"/>
      <c r="D815" s="29"/>
      <c r="E815" s="29"/>
      <c r="H815" s="27"/>
      <c r="K815"/>
      <c r="P815" s="27"/>
      <c r="Q815" s="27"/>
      <c r="R815" s="27"/>
    </row>
    <row r="816" spans="1:18">
      <c r="A816" s="28"/>
      <c r="B816" s="29"/>
      <c r="C816" s="29"/>
      <c r="D816" s="29"/>
      <c r="E816" s="29"/>
      <c r="H816" s="27"/>
      <c r="K816"/>
      <c r="P816" s="27"/>
      <c r="Q816" s="27"/>
      <c r="R816" s="27"/>
    </row>
    <row r="817" spans="1:18">
      <c r="A817" s="28"/>
      <c r="B817" s="29"/>
      <c r="C817" s="29"/>
      <c r="D817" s="29"/>
      <c r="E817" s="29"/>
      <c r="H817" s="27"/>
      <c r="K817"/>
      <c r="P817" s="27"/>
      <c r="Q817" s="27"/>
      <c r="R817" s="27"/>
    </row>
    <row r="818" spans="1:18">
      <c r="A818" s="28"/>
      <c r="B818" s="29"/>
      <c r="C818" s="29"/>
      <c r="D818" s="29"/>
      <c r="E818" s="29"/>
      <c r="H818" s="27"/>
      <c r="K818"/>
      <c r="P818" s="27"/>
      <c r="Q818" s="27"/>
      <c r="R818" s="27"/>
    </row>
    <row r="819" spans="1:18">
      <c r="A819" s="28"/>
      <c r="B819" s="29"/>
      <c r="C819" s="29"/>
      <c r="D819" s="29"/>
      <c r="E819" s="29"/>
      <c r="H819" s="27"/>
      <c r="K819"/>
      <c r="P819" s="27"/>
      <c r="Q819" s="27"/>
      <c r="R819" s="27"/>
    </row>
    <row r="820" spans="1:18">
      <c r="A820" s="28"/>
      <c r="B820" s="29"/>
      <c r="C820" s="29"/>
      <c r="D820" s="29"/>
      <c r="E820" s="29"/>
      <c r="H820" s="27"/>
      <c r="K820"/>
      <c r="P820" s="27"/>
      <c r="Q820" s="27"/>
      <c r="R820" s="27"/>
    </row>
    <row r="821" spans="1:18">
      <c r="A821" s="28"/>
      <c r="B821" s="29"/>
      <c r="C821" s="29"/>
      <c r="D821" s="29"/>
      <c r="E821" s="29"/>
      <c r="H821" s="27"/>
      <c r="K821"/>
      <c r="P821" s="27"/>
      <c r="Q821" s="27"/>
      <c r="R821" s="27"/>
    </row>
    <row r="822" spans="1:18">
      <c r="A822" s="28"/>
      <c r="B822" s="29"/>
      <c r="C822" s="29"/>
      <c r="D822" s="29"/>
      <c r="E822" s="29"/>
      <c r="H822" s="27"/>
      <c r="K822"/>
      <c r="P822" s="27"/>
      <c r="Q822" s="27"/>
      <c r="R822" s="27"/>
    </row>
    <row r="823" spans="1:18">
      <c r="A823" s="28"/>
      <c r="B823" s="29"/>
      <c r="C823" s="29"/>
      <c r="D823" s="29"/>
      <c r="E823" s="29"/>
      <c r="H823" s="27"/>
      <c r="K823"/>
      <c r="P823" s="27"/>
      <c r="Q823" s="27"/>
      <c r="R823" s="27"/>
    </row>
    <row r="824" spans="1:18">
      <c r="A824" s="28"/>
      <c r="B824" s="29"/>
      <c r="C824" s="29"/>
      <c r="D824" s="29"/>
      <c r="E824" s="29"/>
      <c r="H824" s="27"/>
      <c r="K824"/>
      <c r="P824" s="27"/>
      <c r="Q824" s="27"/>
      <c r="R824" s="27"/>
    </row>
    <row r="825" spans="1:18">
      <c r="A825" s="28"/>
      <c r="B825" s="29"/>
      <c r="C825" s="29"/>
      <c r="D825" s="29"/>
      <c r="E825" s="29"/>
      <c r="H825" s="27"/>
      <c r="K825"/>
      <c r="P825" s="27"/>
      <c r="Q825" s="27"/>
      <c r="R825" s="27"/>
    </row>
    <row r="826" spans="1:18">
      <c r="A826" s="28"/>
      <c r="B826" s="29"/>
      <c r="C826" s="29"/>
      <c r="D826" s="29"/>
      <c r="E826" s="29"/>
      <c r="H826" s="27"/>
      <c r="K826"/>
      <c r="P826" s="27"/>
      <c r="Q826" s="27"/>
      <c r="R826" s="27"/>
    </row>
    <row r="827" spans="1:18">
      <c r="A827" s="28"/>
      <c r="B827" s="29"/>
      <c r="C827" s="29"/>
      <c r="D827" s="29"/>
      <c r="E827" s="29"/>
      <c r="H827" s="27"/>
      <c r="K827"/>
      <c r="P827" s="27"/>
      <c r="Q827" s="27"/>
      <c r="R827" s="27"/>
    </row>
    <row r="828" spans="1:18">
      <c r="A828" s="28"/>
      <c r="B828" s="29"/>
      <c r="C828" s="29"/>
      <c r="D828" s="29"/>
      <c r="E828" s="29"/>
      <c r="H828" s="27"/>
      <c r="K828"/>
      <c r="P828" s="27"/>
      <c r="Q828" s="27"/>
      <c r="R828" s="27"/>
    </row>
    <row r="829" spans="1:18">
      <c r="A829" s="28"/>
      <c r="B829" s="29"/>
      <c r="C829" s="29"/>
      <c r="D829" s="29"/>
      <c r="E829" s="29"/>
      <c r="H829" s="27"/>
      <c r="K829"/>
      <c r="P829" s="27"/>
      <c r="Q829" s="27"/>
      <c r="R829" s="27"/>
    </row>
    <row r="830" spans="1:18">
      <c r="A830" s="28"/>
      <c r="B830" s="29"/>
      <c r="C830" s="29"/>
      <c r="D830" s="29"/>
      <c r="E830" s="29"/>
      <c r="H830" s="27"/>
      <c r="K830"/>
      <c r="P830" s="27"/>
      <c r="Q830" s="27"/>
      <c r="R830" s="27"/>
    </row>
    <row r="831" spans="1:18">
      <c r="A831" s="28"/>
      <c r="B831" s="29"/>
      <c r="C831" s="29"/>
      <c r="D831" s="29"/>
      <c r="E831" s="29"/>
      <c r="H831" s="27"/>
      <c r="K831"/>
      <c r="P831" s="27"/>
      <c r="Q831" s="27"/>
      <c r="R831" s="27"/>
    </row>
    <row r="832" spans="1:18">
      <c r="A832" s="28"/>
      <c r="B832" s="29"/>
      <c r="C832" s="29"/>
      <c r="D832" s="29"/>
      <c r="E832" s="29"/>
      <c r="H832" s="27"/>
      <c r="K832"/>
      <c r="P832" s="27"/>
      <c r="Q832" s="27"/>
      <c r="R832" s="27"/>
    </row>
    <row r="833" spans="1:18">
      <c r="A833" s="28"/>
      <c r="B833" s="29"/>
      <c r="C833" s="29"/>
      <c r="D833" s="29"/>
      <c r="E833" s="29"/>
      <c r="H833" s="27"/>
      <c r="K833"/>
      <c r="P833" s="27"/>
      <c r="Q833" s="27"/>
      <c r="R833" s="27"/>
    </row>
    <row r="834" spans="1:18">
      <c r="A834" s="28"/>
      <c r="B834" s="29"/>
      <c r="C834" s="29"/>
      <c r="D834" s="29"/>
      <c r="E834" s="29"/>
      <c r="H834" s="27"/>
      <c r="K834"/>
      <c r="P834" s="27"/>
      <c r="Q834" s="27"/>
      <c r="R834" s="27"/>
    </row>
    <row r="835" spans="1:18">
      <c r="A835" s="28"/>
      <c r="B835" s="29"/>
      <c r="C835" s="29"/>
      <c r="D835" s="29"/>
      <c r="E835" s="29"/>
      <c r="H835" s="27"/>
      <c r="K835"/>
      <c r="P835" s="27"/>
      <c r="Q835" s="27"/>
      <c r="R835" s="27"/>
    </row>
    <row r="836" spans="1:18">
      <c r="A836" s="28"/>
      <c r="B836" s="29"/>
      <c r="C836" s="29"/>
      <c r="D836" s="29"/>
      <c r="E836" s="29"/>
      <c r="H836" s="27"/>
      <c r="K836"/>
      <c r="P836" s="27"/>
      <c r="Q836" s="27"/>
      <c r="R836" s="27"/>
    </row>
    <row r="837" spans="1:18">
      <c r="A837" s="28"/>
      <c r="B837" s="29"/>
      <c r="C837" s="29"/>
      <c r="D837" s="29"/>
      <c r="E837" s="29"/>
      <c r="H837" s="27"/>
      <c r="K837"/>
      <c r="P837" s="27"/>
      <c r="Q837" s="27"/>
      <c r="R837" s="27"/>
    </row>
    <row r="838" spans="1:18">
      <c r="A838" s="28"/>
      <c r="B838" s="29"/>
      <c r="C838" s="29"/>
      <c r="D838" s="29"/>
      <c r="E838" s="29"/>
      <c r="H838" s="27"/>
      <c r="K838"/>
      <c r="P838" s="27"/>
      <c r="Q838" s="27"/>
      <c r="R838" s="27"/>
    </row>
    <row r="839" spans="1:18">
      <c r="A839" s="28"/>
      <c r="B839" s="29"/>
      <c r="C839" s="29"/>
      <c r="D839" s="29"/>
      <c r="E839" s="29"/>
      <c r="H839" s="27"/>
      <c r="K839"/>
      <c r="P839" s="27"/>
      <c r="Q839" s="27"/>
      <c r="R839" s="27"/>
    </row>
    <row r="840" spans="1:18">
      <c r="A840" s="28"/>
      <c r="B840" s="29"/>
      <c r="C840" s="29"/>
      <c r="D840" s="29"/>
      <c r="E840" s="29"/>
      <c r="H840" s="27"/>
      <c r="K840"/>
      <c r="P840" s="27"/>
      <c r="Q840" s="27"/>
      <c r="R840" s="27"/>
    </row>
    <row r="841" spans="1:18">
      <c r="A841" s="28"/>
      <c r="B841" s="29"/>
      <c r="C841" s="29"/>
      <c r="D841" s="29"/>
      <c r="E841" s="29"/>
      <c r="H841" s="27"/>
      <c r="K841"/>
      <c r="P841" s="27"/>
      <c r="Q841" s="27"/>
      <c r="R841" s="27"/>
    </row>
    <row r="842" spans="1:18">
      <c r="A842" s="28"/>
      <c r="B842" s="29"/>
      <c r="C842" s="29"/>
      <c r="D842" s="29"/>
      <c r="E842" s="29"/>
      <c r="H842" s="27"/>
      <c r="K842"/>
      <c r="P842" s="27"/>
      <c r="Q842" s="27"/>
      <c r="R842" s="27"/>
    </row>
    <row r="843" spans="1:18">
      <c r="A843" s="28"/>
      <c r="B843" s="29"/>
      <c r="C843" s="29"/>
      <c r="D843" s="29"/>
      <c r="E843" s="29"/>
      <c r="H843" s="27"/>
      <c r="K843"/>
      <c r="P843" s="27"/>
      <c r="Q843" s="27"/>
      <c r="R843" s="27"/>
    </row>
    <row r="844" spans="1:18">
      <c r="A844" s="28"/>
      <c r="B844" s="29"/>
      <c r="C844" s="29"/>
      <c r="D844" s="29"/>
      <c r="E844" s="29"/>
      <c r="H844" s="27"/>
      <c r="K844"/>
      <c r="P844" s="27"/>
      <c r="Q844" s="27"/>
      <c r="R844" s="27"/>
    </row>
    <row r="845" spans="1:18">
      <c r="A845" s="28"/>
      <c r="B845" s="29"/>
      <c r="C845" s="29"/>
      <c r="D845" s="29"/>
      <c r="E845" s="29"/>
      <c r="H845" s="27"/>
      <c r="K845"/>
      <c r="P845" s="27"/>
      <c r="Q845" s="27"/>
      <c r="R845" s="27"/>
    </row>
    <row r="846" spans="1:18">
      <c r="A846" s="28"/>
      <c r="B846" s="29"/>
      <c r="C846" s="29"/>
      <c r="D846" s="29"/>
      <c r="E846" s="29"/>
      <c r="H846" s="27"/>
      <c r="K846"/>
      <c r="P846" s="27"/>
      <c r="Q846" s="27"/>
      <c r="R846" s="27"/>
    </row>
    <row r="847" spans="1:18">
      <c r="A847" s="28"/>
      <c r="B847" s="29"/>
      <c r="C847" s="29"/>
      <c r="D847" s="29"/>
      <c r="E847" s="29"/>
      <c r="H847" s="27"/>
      <c r="K847"/>
      <c r="P847" s="27"/>
      <c r="Q847" s="27"/>
      <c r="R847" s="27"/>
    </row>
    <row r="848" spans="1:18">
      <c r="A848" s="28"/>
      <c r="B848" s="29"/>
      <c r="C848" s="29"/>
      <c r="D848" s="29"/>
      <c r="E848" s="29"/>
      <c r="H848" s="27"/>
      <c r="K848"/>
      <c r="P848" s="27"/>
      <c r="Q848" s="27"/>
      <c r="R848" s="27"/>
    </row>
    <row r="849" spans="1:18">
      <c r="A849" s="28"/>
      <c r="B849" s="29"/>
      <c r="C849" s="29"/>
      <c r="D849" s="29"/>
      <c r="E849" s="29"/>
      <c r="H849" s="27"/>
      <c r="K849"/>
      <c r="P849" s="27"/>
      <c r="Q849" s="27"/>
      <c r="R849" s="27"/>
    </row>
    <row r="850" spans="1:18">
      <c r="A850" s="28"/>
      <c r="B850" s="29"/>
      <c r="C850" s="29"/>
      <c r="D850" s="29"/>
      <c r="E850" s="29"/>
      <c r="H850" s="27"/>
      <c r="K850"/>
      <c r="P850" s="27"/>
      <c r="Q850" s="27"/>
      <c r="R850" s="27"/>
    </row>
    <row r="851" spans="1:18">
      <c r="A851" s="28"/>
      <c r="B851" s="29"/>
      <c r="C851" s="29"/>
      <c r="D851" s="29"/>
      <c r="E851" s="29"/>
      <c r="H851" s="27"/>
      <c r="K851"/>
      <c r="P851" s="27"/>
      <c r="Q851" s="27"/>
      <c r="R851" s="27"/>
    </row>
    <row r="852" spans="1:18">
      <c r="A852" s="28"/>
      <c r="B852" s="29"/>
      <c r="C852" s="29"/>
      <c r="D852" s="29"/>
      <c r="E852" s="29"/>
      <c r="H852" s="27"/>
      <c r="K852"/>
      <c r="P852" s="27"/>
      <c r="Q852" s="27"/>
      <c r="R852" s="27"/>
    </row>
    <row r="853" spans="1:18">
      <c r="A853" s="28"/>
      <c r="B853" s="29"/>
      <c r="C853" s="29"/>
      <c r="D853" s="29"/>
      <c r="E853" s="29"/>
      <c r="H853" s="27"/>
      <c r="K853"/>
      <c r="P853" s="27"/>
      <c r="Q853" s="27"/>
      <c r="R853" s="27"/>
    </row>
    <row r="854" spans="1:18">
      <c r="A854" s="28"/>
      <c r="B854" s="29"/>
      <c r="C854" s="29"/>
      <c r="D854" s="29"/>
      <c r="E854" s="29"/>
      <c r="H854" s="27"/>
      <c r="K854"/>
      <c r="P854" s="27"/>
      <c r="Q854" s="27"/>
      <c r="R854" s="27"/>
    </row>
    <row r="855" spans="1:18">
      <c r="A855" s="28"/>
      <c r="B855" s="29"/>
      <c r="C855" s="29"/>
      <c r="D855" s="29"/>
      <c r="E855" s="29"/>
      <c r="H855" s="27"/>
      <c r="K855"/>
      <c r="P855" s="27"/>
      <c r="Q855" s="27"/>
      <c r="R855" s="27"/>
    </row>
    <row r="856" spans="1:18">
      <c r="A856" s="28"/>
      <c r="B856" s="29"/>
      <c r="C856" s="29"/>
      <c r="D856" s="29"/>
      <c r="E856" s="29"/>
      <c r="H856" s="27"/>
      <c r="K856"/>
      <c r="P856" s="27"/>
      <c r="Q856" s="27"/>
      <c r="R856" s="27"/>
    </row>
    <row r="857" spans="1:18">
      <c r="A857" s="28"/>
      <c r="B857" s="29"/>
      <c r="C857" s="29"/>
      <c r="D857" s="29"/>
      <c r="E857" s="29"/>
      <c r="H857" s="27"/>
      <c r="K857"/>
      <c r="P857" s="27"/>
      <c r="Q857" s="27"/>
      <c r="R857" s="27"/>
    </row>
    <row r="858" spans="1:18">
      <c r="A858" s="28"/>
      <c r="B858" s="29"/>
      <c r="C858" s="29"/>
      <c r="D858" s="29"/>
      <c r="E858" s="29"/>
      <c r="H858" s="27"/>
      <c r="K858"/>
      <c r="P858" s="27"/>
      <c r="Q858" s="27"/>
      <c r="R858" s="27"/>
    </row>
    <row r="859" spans="1:18">
      <c r="A859" s="28"/>
      <c r="B859" s="29"/>
      <c r="C859" s="29"/>
      <c r="D859" s="29"/>
      <c r="E859" s="29"/>
      <c r="H859" s="27"/>
      <c r="K859"/>
      <c r="P859" s="27"/>
      <c r="Q859" s="27"/>
      <c r="R859" s="27"/>
    </row>
    <row r="860" spans="1:18">
      <c r="A860" s="28"/>
      <c r="B860" s="29"/>
      <c r="C860" s="29"/>
      <c r="D860" s="29"/>
      <c r="E860" s="29"/>
      <c r="H860" s="27"/>
      <c r="K860"/>
      <c r="P860" s="27"/>
      <c r="Q860" s="27"/>
      <c r="R860" s="27"/>
    </row>
    <row r="861" spans="1:18">
      <c r="A861" s="28"/>
      <c r="B861" s="29"/>
      <c r="C861" s="29"/>
      <c r="D861" s="29"/>
      <c r="E861" s="29"/>
      <c r="H861" s="27"/>
      <c r="K861"/>
      <c r="P861" s="27"/>
      <c r="Q861" s="27"/>
      <c r="R861" s="27"/>
    </row>
    <row r="862" spans="1:18">
      <c r="A862" s="28"/>
      <c r="B862" s="29"/>
      <c r="C862" s="29"/>
      <c r="D862" s="29"/>
      <c r="E862" s="29"/>
      <c r="H862" s="27"/>
      <c r="K862"/>
      <c r="P862" s="27"/>
      <c r="Q862" s="27"/>
      <c r="R862" s="27"/>
    </row>
    <row r="863" spans="1:18">
      <c r="A863" s="28"/>
      <c r="B863" s="29"/>
      <c r="C863" s="29"/>
      <c r="D863" s="29"/>
      <c r="E863" s="29"/>
      <c r="H863" s="27"/>
      <c r="K863"/>
      <c r="P863" s="27"/>
      <c r="Q863" s="27"/>
      <c r="R863" s="27"/>
    </row>
    <row r="864" spans="1:18">
      <c r="A864" s="28"/>
      <c r="B864" s="29"/>
      <c r="C864" s="29"/>
      <c r="D864" s="29"/>
      <c r="E864" s="29"/>
      <c r="H864" s="27"/>
      <c r="K864"/>
      <c r="P864" s="27"/>
      <c r="Q864" s="27"/>
      <c r="R864" s="27"/>
    </row>
    <row r="865" spans="1:18">
      <c r="A865" s="28"/>
      <c r="B865" s="29"/>
      <c r="C865" s="29"/>
      <c r="D865" s="29"/>
      <c r="E865" s="29"/>
      <c r="H865" s="27"/>
      <c r="K865"/>
      <c r="P865" s="27"/>
      <c r="Q865" s="27"/>
      <c r="R865" s="27"/>
    </row>
    <row r="866" spans="1:18">
      <c r="A866" s="28"/>
      <c r="B866" s="29"/>
      <c r="C866" s="29"/>
      <c r="D866" s="29"/>
      <c r="E866" s="29"/>
      <c r="H866" s="27"/>
      <c r="K866"/>
      <c r="P866" s="27"/>
      <c r="Q866" s="27"/>
      <c r="R866" s="27"/>
    </row>
    <row r="867" spans="1:18">
      <c r="A867" s="28"/>
      <c r="B867" s="29"/>
      <c r="C867" s="29"/>
      <c r="D867" s="29"/>
      <c r="E867" s="29"/>
      <c r="H867" s="27"/>
      <c r="K867"/>
      <c r="P867" s="27"/>
      <c r="Q867" s="27"/>
      <c r="R867" s="27"/>
    </row>
    <row r="868" spans="1:18">
      <c r="A868" s="28"/>
      <c r="B868" s="29"/>
      <c r="C868" s="29"/>
      <c r="D868" s="29"/>
      <c r="E868" s="29"/>
      <c r="H868" s="27"/>
      <c r="K868"/>
      <c r="P868" s="27"/>
      <c r="Q868" s="27"/>
      <c r="R868" s="27"/>
    </row>
    <row r="869" spans="1:18">
      <c r="A869" s="28"/>
      <c r="B869" s="29"/>
      <c r="C869" s="29"/>
      <c r="D869" s="29"/>
      <c r="E869" s="29"/>
      <c r="H869" s="27"/>
      <c r="K869"/>
      <c r="P869" s="27"/>
      <c r="Q869" s="27"/>
      <c r="R869" s="27"/>
    </row>
    <row r="870" spans="1:18">
      <c r="A870" s="28"/>
      <c r="B870" s="29"/>
      <c r="C870" s="29"/>
      <c r="D870" s="29"/>
      <c r="E870" s="29"/>
      <c r="H870" s="27"/>
      <c r="K870"/>
      <c r="P870" s="27"/>
      <c r="Q870" s="27"/>
      <c r="R870" s="27"/>
    </row>
    <row r="871" spans="1:18">
      <c r="A871" s="28"/>
      <c r="B871" s="29"/>
      <c r="C871" s="29"/>
      <c r="D871" s="29"/>
      <c r="E871" s="29"/>
      <c r="H871" s="27"/>
      <c r="K871"/>
      <c r="P871" s="27"/>
      <c r="Q871" s="27"/>
      <c r="R871" s="27"/>
    </row>
    <row r="872" spans="1:18">
      <c r="A872" s="28"/>
      <c r="B872" s="29"/>
      <c r="C872" s="29"/>
      <c r="D872" s="29"/>
      <c r="E872" s="29"/>
      <c r="H872" s="27"/>
      <c r="K872"/>
      <c r="P872" s="27"/>
      <c r="Q872" s="27"/>
      <c r="R872" s="27"/>
    </row>
    <row r="873" spans="1:18">
      <c r="A873" s="28"/>
      <c r="B873" s="29"/>
      <c r="C873" s="29"/>
      <c r="D873" s="29"/>
      <c r="E873" s="29"/>
      <c r="H873" s="27"/>
      <c r="K873"/>
      <c r="P873" s="27"/>
      <c r="Q873" s="27"/>
      <c r="R873" s="27"/>
    </row>
    <row r="874" spans="1:18">
      <c r="A874" s="28"/>
      <c r="B874" s="29"/>
      <c r="C874" s="29"/>
      <c r="D874" s="29"/>
      <c r="E874" s="29"/>
      <c r="H874" s="27"/>
      <c r="K874"/>
      <c r="P874" s="27"/>
      <c r="Q874" s="27"/>
      <c r="R874" s="27"/>
    </row>
    <row r="875" spans="1:18">
      <c r="A875" s="28"/>
      <c r="B875" s="29"/>
      <c r="C875" s="29"/>
      <c r="D875" s="29"/>
      <c r="E875" s="29"/>
      <c r="H875" s="27"/>
      <c r="K875"/>
      <c r="P875" s="27"/>
      <c r="Q875" s="27"/>
      <c r="R875" s="27"/>
    </row>
    <row r="876" spans="1:18">
      <c r="A876" s="28"/>
      <c r="B876" s="29"/>
      <c r="C876" s="29"/>
      <c r="D876" s="29"/>
      <c r="E876" s="29"/>
      <c r="H876" s="27"/>
      <c r="K876"/>
      <c r="P876" s="27"/>
      <c r="Q876" s="27"/>
      <c r="R876" s="27"/>
    </row>
    <row r="877" spans="1:18">
      <c r="A877" s="28"/>
      <c r="B877" s="29"/>
      <c r="C877" s="29"/>
      <c r="D877" s="29"/>
      <c r="E877" s="29"/>
      <c r="H877" s="27"/>
      <c r="K877"/>
      <c r="P877" s="27"/>
      <c r="Q877" s="27"/>
      <c r="R877" s="27"/>
    </row>
    <row r="878" spans="1:18">
      <c r="A878" s="28"/>
      <c r="B878" s="29"/>
      <c r="C878" s="29"/>
      <c r="D878" s="29"/>
      <c r="E878" s="29"/>
      <c r="H878" s="27"/>
      <c r="K878"/>
      <c r="P878" s="27"/>
      <c r="Q878" s="27"/>
      <c r="R878" s="27"/>
    </row>
    <row r="879" spans="1:18">
      <c r="A879" s="28"/>
      <c r="B879" s="29"/>
      <c r="C879" s="29"/>
      <c r="D879" s="29"/>
      <c r="E879" s="29"/>
      <c r="H879" s="27"/>
      <c r="K879"/>
      <c r="P879" s="27"/>
      <c r="Q879" s="27"/>
      <c r="R879" s="27"/>
    </row>
    <row r="880" spans="1:18">
      <c r="A880" s="28"/>
      <c r="B880" s="29"/>
      <c r="C880" s="29"/>
      <c r="D880" s="29"/>
      <c r="E880" s="29"/>
      <c r="H880" s="27"/>
      <c r="K880"/>
      <c r="P880" s="27"/>
      <c r="Q880" s="27"/>
      <c r="R880" s="27"/>
    </row>
    <row r="881" spans="1:18">
      <c r="A881" s="28"/>
      <c r="B881" s="29"/>
      <c r="C881" s="29"/>
      <c r="D881" s="29"/>
      <c r="E881" s="29"/>
      <c r="H881" s="27"/>
      <c r="K881"/>
      <c r="P881" s="27"/>
      <c r="Q881" s="27"/>
      <c r="R881" s="27"/>
    </row>
    <row r="882" spans="1:18">
      <c r="A882" s="28"/>
      <c r="B882" s="29"/>
      <c r="C882" s="29"/>
      <c r="D882" s="29"/>
      <c r="E882" s="29"/>
      <c r="H882" s="27"/>
      <c r="K882"/>
      <c r="P882" s="27"/>
      <c r="Q882" s="27"/>
      <c r="R882" s="27"/>
    </row>
    <row r="883" spans="1:18">
      <c r="A883" s="28"/>
      <c r="B883" s="29"/>
      <c r="C883" s="29"/>
      <c r="D883" s="29"/>
      <c r="E883" s="29"/>
      <c r="H883" s="27"/>
      <c r="K883"/>
      <c r="P883" s="27"/>
      <c r="Q883" s="27"/>
      <c r="R883" s="27"/>
    </row>
    <row r="884" spans="1:18">
      <c r="A884" s="28"/>
      <c r="B884" s="29"/>
      <c r="C884" s="29"/>
      <c r="D884" s="29"/>
      <c r="E884" s="29"/>
      <c r="H884" s="27"/>
      <c r="K884"/>
      <c r="P884" s="27"/>
      <c r="Q884" s="27"/>
      <c r="R884" s="27"/>
    </row>
    <row r="885" spans="1:18">
      <c r="A885" s="28"/>
      <c r="B885" s="29"/>
      <c r="C885" s="29"/>
      <c r="D885" s="29"/>
      <c r="E885" s="29"/>
      <c r="H885" s="27"/>
      <c r="K885"/>
      <c r="P885" s="27"/>
      <c r="Q885" s="27"/>
      <c r="R885" s="27"/>
    </row>
    <row r="886" spans="1:18">
      <c r="A886" s="28"/>
      <c r="B886" s="29"/>
      <c r="C886" s="29"/>
      <c r="D886" s="29"/>
      <c r="E886" s="29"/>
      <c r="H886" s="27"/>
      <c r="K886"/>
      <c r="P886" s="27"/>
      <c r="Q886" s="27"/>
      <c r="R886" s="27"/>
    </row>
    <row r="887" spans="1:18">
      <c r="A887" s="28"/>
      <c r="B887" s="29"/>
      <c r="C887" s="29"/>
      <c r="D887" s="29"/>
      <c r="E887" s="29"/>
      <c r="H887" s="27"/>
      <c r="K887"/>
      <c r="P887" s="27"/>
      <c r="Q887" s="27"/>
      <c r="R887" s="27"/>
    </row>
    <row r="888" spans="1:18">
      <c r="A888" s="28"/>
      <c r="B888" s="29"/>
      <c r="C888" s="29"/>
      <c r="D888" s="29"/>
      <c r="E888" s="29"/>
      <c r="H888" s="27"/>
      <c r="K888"/>
      <c r="P888" s="27"/>
      <c r="Q888" s="27"/>
      <c r="R888" s="27"/>
    </row>
    <row r="889" spans="1:18">
      <c r="A889" s="28"/>
      <c r="B889" s="29"/>
      <c r="C889" s="29"/>
      <c r="D889" s="29"/>
      <c r="E889" s="29"/>
      <c r="H889" s="27"/>
      <c r="K889"/>
      <c r="P889" s="27"/>
      <c r="Q889" s="27"/>
      <c r="R889" s="27"/>
    </row>
    <row r="890" spans="1:18">
      <c r="A890" s="28"/>
      <c r="B890" s="29"/>
      <c r="C890" s="29"/>
      <c r="D890" s="29"/>
      <c r="E890" s="29"/>
      <c r="H890" s="27"/>
      <c r="K890"/>
      <c r="P890" s="27"/>
      <c r="Q890" s="27"/>
      <c r="R890" s="27"/>
    </row>
    <row r="891" spans="1:18">
      <c r="A891" s="28"/>
      <c r="B891" s="29"/>
      <c r="C891" s="29"/>
      <c r="D891" s="29"/>
      <c r="E891" s="29"/>
      <c r="H891" s="27"/>
      <c r="K891"/>
      <c r="P891" s="27"/>
      <c r="Q891" s="27"/>
      <c r="R891" s="27"/>
    </row>
    <row r="892" spans="1:18">
      <c r="A892" s="28"/>
      <c r="B892" s="29"/>
      <c r="C892" s="29"/>
      <c r="D892" s="29"/>
      <c r="E892" s="29"/>
      <c r="H892" s="27"/>
      <c r="K892"/>
      <c r="P892" s="27"/>
      <c r="Q892" s="27"/>
      <c r="R892" s="27"/>
    </row>
    <row r="893" spans="1:18">
      <c r="A893" s="28"/>
      <c r="B893" s="29"/>
      <c r="C893" s="29"/>
      <c r="D893" s="29"/>
      <c r="E893" s="29"/>
      <c r="H893" s="27"/>
      <c r="K893"/>
      <c r="P893" s="27"/>
      <c r="Q893" s="27"/>
      <c r="R893" s="27"/>
    </row>
    <row r="894" spans="1:18">
      <c r="A894" s="28"/>
      <c r="B894" s="29"/>
      <c r="C894" s="29"/>
      <c r="D894" s="29"/>
      <c r="E894" s="29"/>
      <c r="H894" s="27"/>
      <c r="K894"/>
      <c r="P894" s="27"/>
      <c r="Q894" s="27"/>
      <c r="R894" s="27"/>
    </row>
    <row r="895" spans="1:18">
      <c r="A895" s="28"/>
      <c r="B895" s="29"/>
      <c r="C895" s="29"/>
      <c r="D895" s="29"/>
      <c r="E895" s="29"/>
      <c r="H895" s="27"/>
      <c r="K895"/>
      <c r="P895" s="27"/>
      <c r="Q895" s="27"/>
      <c r="R895" s="27"/>
    </row>
    <row r="896" spans="1:18">
      <c r="A896" s="28"/>
      <c r="B896" s="29"/>
      <c r="C896" s="29"/>
      <c r="D896" s="29"/>
      <c r="E896" s="29"/>
      <c r="H896" s="27"/>
      <c r="K896"/>
      <c r="P896" s="27"/>
      <c r="Q896" s="27"/>
      <c r="R896" s="27"/>
    </row>
    <row r="897" spans="1:18">
      <c r="A897" s="28"/>
      <c r="B897" s="29"/>
      <c r="C897" s="29"/>
      <c r="D897" s="29"/>
      <c r="E897" s="29"/>
      <c r="H897" s="27"/>
      <c r="K897"/>
      <c r="P897" s="27"/>
      <c r="Q897" s="27"/>
      <c r="R897" s="27"/>
    </row>
    <row r="898" spans="1:18">
      <c r="A898" s="28"/>
      <c r="B898" s="29"/>
      <c r="C898" s="29"/>
      <c r="D898" s="29"/>
      <c r="E898" s="29"/>
      <c r="H898" s="27"/>
      <c r="K898"/>
      <c r="P898" s="27"/>
      <c r="Q898" s="27"/>
      <c r="R898" s="27"/>
    </row>
    <row r="899" spans="1:18">
      <c r="A899" s="28"/>
      <c r="B899" s="29"/>
      <c r="C899" s="29"/>
      <c r="D899" s="29"/>
      <c r="E899" s="29"/>
      <c r="H899" s="27"/>
      <c r="K899"/>
      <c r="P899" s="27"/>
      <c r="Q899" s="27"/>
      <c r="R899" s="27"/>
    </row>
    <row r="900" spans="1:18">
      <c r="A900" s="28"/>
      <c r="B900" s="29"/>
      <c r="C900" s="29"/>
      <c r="D900" s="29"/>
      <c r="E900" s="29"/>
      <c r="H900" s="27"/>
      <c r="K900"/>
      <c r="P900" s="27"/>
      <c r="Q900" s="27"/>
      <c r="R900" s="27"/>
    </row>
    <row r="901" spans="1:18">
      <c r="A901" s="28"/>
      <c r="B901" s="29"/>
      <c r="C901" s="29"/>
      <c r="D901" s="29"/>
      <c r="E901" s="29"/>
      <c r="H901" s="27"/>
      <c r="K901"/>
      <c r="P901" s="27"/>
      <c r="Q901" s="27"/>
      <c r="R901" s="27"/>
    </row>
    <row r="902" spans="1:18">
      <c r="A902" s="28"/>
      <c r="B902" s="29"/>
      <c r="C902" s="29"/>
      <c r="D902" s="29"/>
      <c r="E902" s="29"/>
      <c r="H902" s="27"/>
      <c r="K902"/>
      <c r="P902" s="27"/>
      <c r="Q902" s="27"/>
      <c r="R902" s="27"/>
    </row>
    <row r="903" spans="1:18">
      <c r="A903" s="28"/>
      <c r="B903" s="29"/>
      <c r="C903" s="29"/>
      <c r="D903" s="29"/>
      <c r="E903" s="29"/>
      <c r="H903" s="27"/>
      <c r="K903"/>
      <c r="P903" s="27"/>
      <c r="Q903" s="27"/>
      <c r="R903" s="27"/>
    </row>
    <row r="904" spans="1:18">
      <c r="A904" s="28"/>
      <c r="B904" s="29"/>
      <c r="C904" s="29"/>
      <c r="D904" s="29"/>
      <c r="E904" s="29"/>
      <c r="H904" s="27"/>
      <c r="K904"/>
      <c r="P904" s="27"/>
      <c r="Q904" s="27"/>
      <c r="R904" s="27"/>
    </row>
    <row r="905" spans="1:18">
      <c r="A905" s="28"/>
      <c r="B905" s="29"/>
      <c r="C905" s="29"/>
      <c r="D905" s="29"/>
      <c r="E905" s="29"/>
      <c r="H905" s="27"/>
      <c r="K905"/>
      <c r="P905" s="27"/>
      <c r="Q905" s="27"/>
      <c r="R905" s="27"/>
    </row>
    <row r="906" spans="1:18">
      <c r="A906" s="28"/>
      <c r="B906" s="29"/>
      <c r="C906" s="29"/>
      <c r="D906" s="29"/>
      <c r="E906" s="29"/>
      <c r="H906" s="27"/>
      <c r="K906"/>
      <c r="P906" s="27"/>
      <c r="Q906" s="27"/>
      <c r="R906" s="27"/>
    </row>
    <row r="907" spans="1:18">
      <c r="A907" s="28"/>
      <c r="B907" s="29"/>
      <c r="C907" s="29"/>
      <c r="D907" s="29"/>
      <c r="E907" s="29"/>
      <c r="H907" s="27"/>
      <c r="K907"/>
      <c r="P907" s="27"/>
      <c r="Q907" s="27"/>
      <c r="R907" s="27"/>
    </row>
    <row r="908" spans="1:18">
      <c r="A908" s="28"/>
      <c r="B908" s="29"/>
      <c r="C908" s="29"/>
      <c r="D908" s="29"/>
      <c r="E908" s="29"/>
      <c r="H908" s="27"/>
      <c r="K908"/>
      <c r="P908" s="27"/>
      <c r="Q908" s="27"/>
      <c r="R908" s="27"/>
    </row>
    <row r="909" spans="1:18">
      <c r="A909" s="28"/>
      <c r="B909" s="29"/>
      <c r="C909" s="29"/>
      <c r="D909" s="29"/>
      <c r="E909" s="29"/>
      <c r="H909" s="27"/>
      <c r="K909"/>
      <c r="P909" s="27"/>
      <c r="Q909" s="27"/>
      <c r="R909" s="27"/>
    </row>
    <row r="910" spans="1:18">
      <c r="A910" s="28"/>
      <c r="B910" s="29"/>
      <c r="C910" s="29"/>
      <c r="D910" s="29"/>
      <c r="E910" s="29"/>
      <c r="H910" s="27"/>
      <c r="K910"/>
      <c r="P910" s="27"/>
      <c r="Q910" s="27"/>
      <c r="R910" s="27"/>
    </row>
    <row r="911" spans="1:18">
      <c r="A911" s="28"/>
      <c r="B911" s="29"/>
      <c r="C911" s="29"/>
      <c r="D911" s="29"/>
      <c r="E911" s="29"/>
      <c r="H911" s="27"/>
      <c r="K911"/>
      <c r="P911" s="27"/>
      <c r="Q911" s="27"/>
      <c r="R911" s="27"/>
    </row>
    <row r="912" spans="1:18">
      <c r="A912" s="28"/>
      <c r="B912" s="29"/>
      <c r="C912" s="29"/>
      <c r="D912" s="29"/>
      <c r="E912" s="29"/>
      <c r="H912" s="27"/>
      <c r="K912"/>
      <c r="P912" s="27"/>
      <c r="Q912" s="27"/>
      <c r="R912" s="27"/>
    </row>
    <row r="913" spans="1:18">
      <c r="A913" s="28"/>
      <c r="B913" s="29"/>
      <c r="C913" s="29"/>
      <c r="D913" s="29"/>
      <c r="E913" s="29"/>
      <c r="H913" s="27"/>
      <c r="K913"/>
      <c r="P913" s="27"/>
      <c r="Q913" s="27"/>
      <c r="R913" s="27"/>
    </row>
    <row r="914" spans="1:18">
      <c r="A914" s="28"/>
      <c r="B914" s="29"/>
      <c r="C914" s="29"/>
      <c r="D914" s="29"/>
      <c r="E914" s="29"/>
      <c r="H914" s="27"/>
      <c r="K914"/>
      <c r="P914" s="27"/>
      <c r="Q914" s="27"/>
      <c r="R914" s="27"/>
    </row>
    <row r="915" spans="1:18">
      <c r="A915" s="28"/>
      <c r="B915" s="29"/>
      <c r="C915" s="29"/>
      <c r="D915" s="29"/>
      <c r="E915" s="29"/>
      <c r="H915" s="27"/>
      <c r="K915"/>
      <c r="P915" s="27"/>
      <c r="Q915" s="27"/>
      <c r="R915" s="27"/>
    </row>
    <row r="916" spans="1:18">
      <c r="A916" s="28"/>
      <c r="B916" s="29"/>
      <c r="C916" s="29"/>
      <c r="D916" s="29"/>
      <c r="E916" s="29"/>
      <c r="H916" s="27"/>
      <c r="K916"/>
      <c r="P916" s="27"/>
      <c r="Q916" s="27"/>
      <c r="R916" s="27"/>
    </row>
    <row r="917" spans="1:18">
      <c r="A917" s="28"/>
      <c r="B917" s="29"/>
      <c r="C917" s="29"/>
      <c r="D917" s="29"/>
      <c r="E917" s="29"/>
      <c r="H917" s="27"/>
      <c r="K917"/>
      <c r="P917" s="27"/>
      <c r="Q917" s="27"/>
      <c r="R917" s="27"/>
    </row>
    <row r="918" spans="1:18">
      <c r="A918" s="28"/>
      <c r="B918" s="29"/>
      <c r="C918" s="29"/>
      <c r="D918" s="29"/>
      <c r="E918" s="29"/>
      <c r="H918" s="27"/>
      <c r="K918"/>
      <c r="P918" s="27"/>
      <c r="Q918" s="27"/>
      <c r="R918" s="27"/>
    </row>
    <row r="919" spans="1:18">
      <c r="A919" s="28"/>
      <c r="B919" s="29"/>
      <c r="C919" s="29"/>
      <c r="D919" s="29"/>
      <c r="E919" s="29"/>
      <c r="H919" s="27"/>
      <c r="K919"/>
      <c r="P919" s="27"/>
      <c r="Q919" s="27"/>
      <c r="R919" s="27"/>
    </row>
    <row r="920" spans="1:18">
      <c r="A920" s="28"/>
      <c r="B920" s="29"/>
      <c r="C920" s="29"/>
      <c r="D920" s="29"/>
      <c r="E920" s="29"/>
      <c r="H920" s="27"/>
      <c r="K920"/>
      <c r="P920" s="27"/>
      <c r="Q920" s="27"/>
      <c r="R920" s="27"/>
    </row>
    <row r="921" spans="1:18">
      <c r="A921" s="28"/>
      <c r="B921" s="29"/>
      <c r="C921" s="29"/>
      <c r="D921" s="29"/>
      <c r="E921" s="29"/>
      <c r="H921" s="27"/>
      <c r="K921"/>
      <c r="P921" s="27"/>
      <c r="Q921" s="27"/>
      <c r="R921" s="27"/>
    </row>
    <row r="922" spans="1:18">
      <c r="A922" s="28"/>
      <c r="B922" s="29"/>
      <c r="C922" s="29"/>
      <c r="D922" s="29"/>
      <c r="E922" s="29"/>
      <c r="H922" s="27"/>
      <c r="K922"/>
      <c r="P922" s="27"/>
      <c r="Q922" s="27"/>
      <c r="R922" s="27"/>
    </row>
    <row r="923" spans="1:18">
      <c r="A923" s="28"/>
      <c r="B923" s="29"/>
      <c r="C923" s="29"/>
      <c r="D923" s="29"/>
      <c r="E923" s="29"/>
      <c r="H923" s="27"/>
      <c r="K923"/>
      <c r="P923" s="27"/>
      <c r="Q923" s="27"/>
      <c r="R923" s="27"/>
    </row>
    <row r="924" spans="1:18">
      <c r="A924" s="28"/>
      <c r="B924" s="29"/>
      <c r="C924" s="29"/>
      <c r="D924" s="29"/>
      <c r="E924" s="29"/>
      <c r="H924" s="27"/>
      <c r="K924"/>
      <c r="P924" s="27"/>
      <c r="Q924" s="27"/>
      <c r="R924" s="27"/>
    </row>
    <row r="925" spans="1:18">
      <c r="A925" s="28"/>
      <c r="B925" s="29"/>
      <c r="C925" s="29"/>
      <c r="D925" s="29"/>
      <c r="E925" s="29"/>
      <c r="H925" s="27"/>
      <c r="K925"/>
      <c r="P925" s="27"/>
      <c r="Q925" s="27"/>
      <c r="R925" s="27"/>
    </row>
    <row r="926" spans="1:18">
      <c r="A926" s="28"/>
      <c r="B926" s="29"/>
      <c r="C926" s="29"/>
      <c r="D926" s="29"/>
      <c r="E926" s="29"/>
      <c r="H926" s="27"/>
      <c r="K926"/>
      <c r="P926" s="27"/>
      <c r="Q926" s="27"/>
      <c r="R926" s="27"/>
    </row>
    <row r="927" spans="1:18">
      <c r="A927" s="28"/>
      <c r="B927" s="29"/>
      <c r="C927" s="29"/>
      <c r="D927" s="29"/>
      <c r="E927" s="29"/>
      <c r="H927" s="27"/>
      <c r="K927"/>
      <c r="P927" s="27"/>
      <c r="Q927" s="27"/>
      <c r="R927" s="27"/>
    </row>
    <row r="928" spans="1:18">
      <c r="A928" s="28"/>
      <c r="B928" s="29"/>
      <c r="C928" s="29"/>
      <c r="D928" s="29"/>
      <c r="E928" s="29"/>
      <c r="H928" s="27"/>
      <c r="K928"/>
      <c r="P928" s="27"/>
      <c r="Q928" s="27"/>
      <c r="R928" s="27"/>
    </row>
    <row r="929" spans="1:18">
      <c r="A929" s="28"/>
      <c r="B929" s="29"/>
      <c r="C929" s="29"/>
      <c r="D929" s="29"/>
      <c r="E929" s="29"/>
      <c r="H929" s="27"/>
      <c r="K929"/>
      <c r="P929" s="27"/>
      <c r="Q929" s="27"/>
      <c r="R929" s="27"/>
    </row>
    <row r="930" spans="1:18">
      <c r="A930" s="28"/>
      <c r="B930" s="29"/>
      <c r="C930" s="29"/>
      <c r="D930" s="29"/>
      <c r="E930" s="29"/>
      <c r="H930" s="27"/>
      <c r="K930"/>
      <c r="P930" s="27"/>
      <c r="Q930" s="27"/>
      <c r="R930" s="27"/>
    </row>
    <row r="931" spans="1:18">
      <c r="A931" s="28"/>
      <c r="B931" s="29"/>
      <c r="C931" s="29"/>
      <c r="D931" s="29"/>
      <c r="E931" s="29"/>
      <c r="H931" s="27"/>
      <c r="K931"/>
      <c r="P931" s="27"/>
      <c r="Q931" s="27"/>
      <c r="R931" s="27"/>
    </row>
    <row r="932" spans="1:18">
      <c r="A932" s="28"/>
      <c r="B932" s="29"/>
      <c r="C932" s="29"/>
      <c r="D932" s="29"/>
      <c r="E932" s="29"/>
      <c r="H932" s="27"/>
      <c r="K932"/>
      <c r="P932" s="27"/>
      <c r="Q932" s="27"/>
      <c r="R932" s="27"/>
    </row>
    <row r="933" spans="1:18">
      <c r="A933" s="28"/>
      <c r="B933" s="29"/>
      <c r="C933" s="29"/>
      <c r="D933" s="29"/>
      <c r="E933" s="29"/>
      <c r="H933" s="27"/>
      <c r="K933"/>
      <c r="P933" s="27"/>
      <c r="Q933" s="27"/>
      <c r="R933" s="27"/>
    </row>
    <row r="934" spans="1:18">
      <c r="A934" s="28"/>
      <c r="B934" s="29"/>
      <c r="C934" s="29"/>
      <c r="D934" s="29"/>
      <c r="E934" s="29"/>
      <c r="H934" s="27"/>
      <c r="K934"/>
      <c r="P934" s="27"/>
      <c r="Q934" s="27"/>
      <c r="R934" s="27"/>
    </row>
    <row r="935" spans="1:18">
      <c r="A935" s="28"/>
      <c r="B935" s="29"/>
      <c r="C935" s="29"/>
      <c r="D935" s="29"/>
      <c r="E935" s="29"/>
      <c r="H935" s="27"/>
      <c r="K935"/>
      <c r="P935" s="27"/>
      <c r="Q935" s="27"/>
      <c r="R935" s="27"/>
    </row>
    <row r="936" spans="1:18">
      <c r="A936" s="28"/>
      <c r="B936" s="29"/>
      <c r="C936" s="29"/>
      <c r="D936" s="29"/>
      <c r="E936" s="29"/>
      <c r="H936" s="27"/>
      <c r="K936"/>
      <c r="P936" s="27"/>
      <c r="Q936" s="27"/>
      <c r="R936" s="27"/>
    </row>
    <row r="937" spans="1:18">
      <c r="A937" s="28"/>
      <c r="B937" s="29"/>
      <c r="C937" s="29"/>
      <c r="D937" s="29"/>
      <c r="E937" s="29"/>
      <c r="H937" s="27"/>
      <c r="K937"/>
      <c r="P937" s="27"/>
      <c r="Q937" s="27"/>
      <c r="R937" s="27"/>
    </row>
    <row r="938" spans="1:18">
      <c r="A938" s="28"/>
      <c r="B938" s="29"/>
      <c r="C938" s="29"/>
      <c r="D938" s="29"/>
      <c r="E938" s="29"/>
      <c r="H938" s="27"/>
      <c r="K938"/>
      <c r="P938" s="27"/>
      <c r="Q938" s="27"/>
      <c r="R938" s="27"/>
    </row>
    <row r="939" spans="1:18">
      <c r="A939" s="28"/>
      <c r="B939" s="29"/>
      <c r="C939" s="29"/>
      <c r="D939" s="29"/>
      <c r="E939" s="29"/>
      <c r="H939" s="27"/>
      <c r="K939"/>
      <c r="P939" s="27"/>
      <c r="Q939" s="27"/>
      <c r="R939" s="27"/>
    </row>
    <row r="940" spans="1:18">
      <c r="A940" s="28"/>
      <c r="B940" s="29"/>
      <c r="C940" s="29"/>
      <c r="D940" s="29"/>
      <c r="E940" s="29"/>
      <c r="H940" s="27"/>
      <c r="K940"/>
      <c r="P940" s="27"/>
      <c r="Q940" s="27"/>
      <c r="R940" s="27"/>
    </row>
    <row r="941" spans="1:18">
      <c r="A941" s="28"/>
      <c r="B941" s="29"/>
      <c r="C941" s="29"/>
      <c r="D941" s="29"/>
      <c r="E941" s="29"/>
      <c r="H941" s="27"/>
      <c r="K941"/>
      <c r="P941" s="27"/>
      <c r="Q941" s="27"/>
      <c r="R941" s="27"/>
    </row>
    <row r="942" spans="1:18">
      <c r="A942" s="28"/>
      <c r="B942" s="29"/>
      <c r="C942" s="29"/>
      <c r="D942" s="29"/>
      <c r="E942" s="29"/>
      <c r="H942" s="27"/>
      <c r="K942"/>
      <c r="P942" s="27"/>
      <c r="Q942" s="27"/>
      <c r="R942" s="27"/>
    </row>
    <row r="943" spans="1:18">
      <c r="A943" s="28"/>
      <c r="B943" s="29"/>
      <c r="C943" s="29"/>
      <c r="D943" s="29"/>
      <c r="E943" s="29"/>
      <c r="H943" s="27"/>
      <c r="K943"/>
      <c r="P943" s="27"/>
      <c r="Q943" s="27"/>
      <c r="R943" s="27"/>
    </row>
    <row r="944" spans="1:18">
      <c r="A944" s="28"/>
      <c r="B944" s="29"/>
      <c r="C944" s="29"/>
      <c r="D944" s="29"/>
      <c r="E944" s="29"/>
      <c r="H944" s="27"/>
      <c r="K944"/>
      <c r="P944" s="27"/>
      <c r="Q944" s="27"/>
      <c r="R944" s="27"/>
    </row>
    <row r="945" spans="1:18">
      <c r="A945" s="28"/>
      <c r="B945" s="29"/>
      <c r="C945" s="29"/>
      <c r="D945" s="29"/>
      <c r="E945" s="29"/>
      <c r="H945" s="27"/>
      <c r="K945"/>
      <c r="P945" s="27"/>
      <c r="Q945" s="27"/>
      <c r="R945" s="27"/>
    </row>
    <row r="946" spans="1:18">
      <c r="A946" s="28"/>
      <c r="B946" s="29"/>
      <c r="C946" s="29"/>
      <c r="D946" s="29"/>
      <c r="E946" s="29"/>
      <c r="H946" s="27"/>
      <c r="K946"/>
      <c r="P946" s="27"/>
      <c r="Q946" s="27"/>
      <c r="R946" s="27"/>
    </row>
    <row r="947" spans="1:18">
      <c r="A947" s="28"/>
      <c r="B947" s="29"/>
      <c r="C947" s="29"/>
      <c r="D947" s="29"/>
      <c r="E947" s="29"/>
      <c r="H947" s="27"/>
      <c r="K947"/>
      <c r="P947" s="27"/>
      <c r="Q947" s="27"/>
      <c r="R947" s="27"/>
    </row>
    <row r="948" spans="1:18">
      <c r="A948" s="28"/>
      <c r="B948" s="29"/>
      <c r="C948" s="29"/>
      <c r="D948" s="29"/>
      <c r="E948" s="29"/>
      <c r="H948" s="27"/>
      <c r="K948"/>
      <c r="P948" s="27"/>
      <c r="Q948" s="27"/>
      <c r="R948" s="27"/>
    </row>
    <row r="949" spans="1:18">
      <c r="A949" s="28"/>
      <c r="B949" s="29"/>
      <c r="C949" s="29"/>
      <c r="D949" s="29"/>
      <c r="E949" s="29"/>
      <c r="H949" s="27"/>
      <c r="K949"/>
      <c r="P949" s="27"/>
      <c r="Q949" s="27"/>
      <c r="R949" s="27"/>
    </row>
    <row r="950" spans="1:18">
      <c r="A950" s="28"/>
      <c r="B950" s="29"/>
      <c r="C950" s="29"/>
      <c r="D950" s="29"/>
      <c r="E950" s="29"/>
      <c r="H950" s="27"/>
      <c r="K950"/>
      <c r="P950" s="27"/>
      <c r="Q950" s="27"/>
      <c r="R950" s="27"/>
    </row>
    <row r="951" spans="1:18">
      <c r="A951" s="28"/>
      <c r="B951" s="29"/>
      <c r="C951" s="29"/>
      <c r="D951" s="29"/>
      <c r="E951" s="29"/>
      <c r="H951" s="27"/>
      <c r="K951"/>
      <c r="P951" s="27"/>
      <c r="Q951" s="27"/>
      <c r="R951" s="27"/>
    </row>
    <row r="952" spans="1:18">
      <c r="A952" s="28"/>
      <c r="B952" s="29"/>
      <c r="C952" s="29"/>
      <c r="D952" s="29"/>
      <c r="E952" s="29"/>
      <c r="H952" s="27"/>
      <c r="K952"/>
      <c r="P952" s="27"/>
      <c r="Q952" s="27"/>
      <c r="R952" s="27"/>
    </row>
    <row r="953" spans="1:18">
      <c r="A953" s="28"/>
      <c r="B953" s="29"/>
      <c r="C953" s="29"/>
      <c r="D953" s="29"/>
      <c r="E953" s="29"/>
      <c r="H953" s="27"/>
      <c r="K953"/>
      <c r="P953" s="27"/>
      <c r="Q953" s="27"/>
      <c r="R953" s="27"/>
    </row>
    <row r="954" spans="1:18">
      <c r="A954" s="28"/>
      <c r="B954" s="29"/>
      <c r="C954" s="29"/>
      <c r="D954" s="29"/>
      <c r="E954" s="29"/>
      <c r="H954" s="27"/>
      <c r="K954"/>
      <c r="P954" s="27"/>
      <c r="Q954" s="27"/>
      <c r="R954" s="27"/>
    </row>
    <row r="955" spans="1:18">
      <c r="A955" s="28"/>
      <c r="B955" s="29"/>
      <c r="C955" s="29"/>
      <c r="D955" s="29"/>
      <c r="E955" s="29"/>
      <c r="H955" s="27"/>
      <c r="K955"/>
      <c r="P955" s="27"/>
      <c r="Q955" s="27"/>
      <c r="R955" s="27"/>
    </row>
    <row r="956" spans="1:18">
      <c r="A956" s="28"/>
      <c r="B956" s="29"/>
      <c r="C956" s="29"/>
      <c r="D956" s="29"/>
      <c r="E956" s="29"/>
      <c r="H956" s="27"/>
      <c r="K956"/>
      <c r="P956" s="27"/>
      <c r="Q956" s="27"/>
      <c r="R956" s="27"/>
    </row>
    <row r="957" spans="1:18">
      <c r="A957" s="28"/>
      <c r="B957" s="29"/>
      <c r="C957" s="29"/>
      <c r="D957" s="29"/>
      <c r="E957" s="29"/>
      <c r="H957" s="27"/>
      <c r="K957"/>
      <c r="P957" s="27"/>
      <c r="Q957" s="27"/>
      <c r="R957" s="27"/>
    </row>
    <row r="958" spans="1:18">
      <c r="A958" s="28"/>
      <c r="B958" s="29"/>
      <c r="C958" s="29"/>
      <c r="D958" s="29"/>
      <c r="E958" s="29"/>
      <c r="H958" s="27"/>
      <c r="K958"/>
      <c r="P958" s="27"/>
      <c r="Q958" s="27"/>
      <c r="R958" s="27"/>
    </row>
    <row r="959" spans="1:18">
      <c r="A959" s="28"/>
      <c r="B959" s="29"/>
      <c r="C959" s="29"/>
      <c r="D959" s="29"/>
      <c r="E959" s="29"/>
      <c r="H959" s="27"/>
      <c r="K959"/>
      <c r="P959" s="27"/>
      <c r="Q959" s="27"/>
      <c r="R959" s="27"/>
    </row>
    <row r="960" spans="1:18">
      <c r="A960" s="28"/>
      <c r="B960" s="29"/>
      <c r="C960" s="29"/>
      <c r="D960" s="29"/>
      <c r="E960" s="29"/>
      <c r="H960" s="27"/>
      <c r="K960"/>
      <c r="P960" s="27"/>
      <c r="Q960" s="27"/>
      <c r="R960" s="27"/>
    </row>
    <row r="961" spans="1:18">
      <c r="A961" s="28"/>
      <c r="B961" s="29"/>
      <c r="C961" s="29"/>
      <c r="D961" s="29"/>
      <c r="E961" s="29"/>
      <c r="H961" s="27"/>
      <c r="K961"/>
      <c r="P961" s="27"/>
      <c r="Q961" s="27"/>
      <c r="R961" s="27"/>
    </row>
    <row r="962" spans="1:18">
      <c r="A962" s="28"/>
      <c r="B962" s="29"/>
      <c r="C962" s="29"/>
      <c r="D962" s="29"/>
      <c r="E962" s="29"/>
      <c r="H962" s="27"/>
      <c r="K962"/>
      <c r="P962" s="27"/>
      <c r="Q962" s="27"/>
      <c r="R962" s="27"/>
    </row>
    <row r="963" spans="1:18">
      <c r="A963" s="28"/>
      <c r="B963" s="29"/>
      <c r="C963" s="29"/>
      <c r="D963" s="29"/>
      <c r="E963" s="29"/>
      <c r="H963" s="27"/>
      <c r="K963"/>
      <c r="P963" s="27"/>
      <c r="Q963" s="27"/>
      <c r="R963" s="27"/>
    </row>
    <row r="964" spans="1:18">
      <c r="A964" s="28"/>
      <c r="B964" s="29"/>
      <c r="C964" s="29"/>
      <c r="D964" s="29"/>
      <c r="E964" s="29"/>
      <c r="H964" s="27"/>
      <c r="K964"/>
      <c r="P964" s="27"/>
      <c r="Q964" s="27"/>
      <c r="R964" s="27"/>
    </row>
    <row r="965" spans="1:18">
      <c r="A965" s="28"/>
      <c r="B965" s="29"/>
      <c r="C965" s="29"/>
      <c r="D965" s="29"/>
      <c r="E965" s="29"/>
      <c r="H965" s="27"/>
      <c r="K965"/>
      <c r="P965" s="27"/>
      <c r="Q965" s="27"/>
      <c r="R965" s="27"/>
    </row>
    <row r="966" spans="1:18">
      <c r="A966" s="28"/>
      <c r="B966" s="29"/>
      <c r="C966" s="29"/>
      <c r="D966" s="29"/>
      <c r="E966" s="29"/>
      <c r="H966" s="27"/>
      <c r="K966"/>
      <c r="P966" s="27"/>
      <c r="Q966" s="27"/>
      <c r="R966" s="27"/>
    </row>
    <row r="967" spans="1:18">
      <c r="A967" s="28"/>
      <c r="B967" s="29"/>
      <c r="C967" s="29"/>
      <c r="D967" s="29"/>
      <c r="E967" s="29"/>
      <c r="H967" s="27"/>
      <c r="K967"/>
      <c r="P967" s="27"/>
      <c r="Q967" s="27"/>
      <c r="R967" s="27"/>
    </row>
    <row r="968" spans="1:18">
      <c r="A968" s="28"/>
      <c r="B968" s="29"/>
      <c r="C968" s="29"/>
      <c r="D968" s="29"/>
      <c r="E968" s="29"/>
      <c r="H968" s="27"/>
      <c r="K968"/>
      <c r="P968" s="27"/>
      <c r="Q968" s="27"/>
      <c r="R968" s="27"/>
    </row>
    <row r="969" spans="1:18">
      <c r="A969" s="28"/>
      <c r="B969" s="29"/>
      <c r="C969" s="29"/>
      <c r="D969" s="29"/>
      <c r="E969" s="29"/>
      <c r="H969" s="27"/>
      <c r="K969"/>
      <c r="P969" s="27"/>
      <c r="Q969" s="27"/>
      <c r="R969" s="27"/>
    </row>
    <row r="970" spans="1:18">
      <c r="A970" s="28"/>
      <c r="B970" s="29"/>
      <c r="C970" s="29"/>
      <c r="D970" s="29"/>
      <c r="E970" s="29"/>
      <c r="H970" s="27"/>
      <c r="K970"/>
      <c r="P970" s="27"/>
      <c r="Q970" s="27"/>
      <c r="R970" s="27"/>
    </row>
    <row r="971" spans="1:18">
      <c r="A971" s="28"/>
      <c r="B971" s="29"/>
      <c r="C971" s="29"/>
      <c r="D971" s="29"/>
      <c r="E971" s="29"/>
      <c r="H971" s="27"/>
      <c r="K971"/>
      <c r="P971" s="27"/>
      <c r="Q971" s="27"/>
      <c r="R971" s="27"/>
    </row>
    <row r="972" spans="1:18">
      <c r="A972" s="28"/>
      <c r="B972" s="29"/>
      <c r="C972" s="29"/>
      <c r="D972" s="29"/>
      <c r="E972" s="29"/>
      <c r="H972" s="27"/>
      <c r="K972"/>
      <c r="P972" s="27"/>
      <c r="Q972" s="27"/>
      <c r="R972" s="27"/>
    </row>
    <row r="973" spans="1:18">
      <c r="A973" s="28"/>
      <c r="B973" s="29"/>
      <c r="C973" s="29"/>
      <c r="D973" s="29"/>
      <c r="E973" s="29"/>
      <c r="H973" s="27"/>
      <c r="K973"/>
      <c r="P973" s="27"/>
      <c r="Q973" s="27"/>
      <c r="R973" s="27"/>
    </row>
    <row r="974" spans="1:18">
      <c r="A974" s="28"/>
      <c r="B974" s="29"/>
      <c r="C974" s="29"/>
      <c r="D974" s="29"/>
      <c r="E974" s="29"/>
      <c r="H974" s="27"/>
      <c r="K974"/>
      <c r="P974" s="27"/>
      <c r="Q974" s="27"/>
      <c r="R974" s="27"/>
    </row>
    <row r="975" spans="1:18">
      <c r="A975" s="28"/>
      <c r="B975" s="29"/>
      <c r="C975" s="29"/>
      <c r="D975" s="29"/>
      <c r="E975" s="29"/>
      <c r="H975" s="27"/>
      <c r="K975"/>
      <c r="P975" s="27"/>
      <c r="Q975" s="27"/>
      <c r="R975" s="27"/>
    </row>
    <row r="976" spans="1:18">
      <c r="A976" s="28"/>
      <c r="B976" s="29"/>
      <c r="C976" s="29"/>
      <c r="D976" s="29"/>
      <c r="E976" s="29"/>
      <c r="H976" s="27"/>
      <c r="K976"/>
      <c r="P976" s="27"/>
      <c r="Q976" s="27"/>
      <c r="R976" s="27"/>
    </row>
    <row r="977" spans="1:18">
      <c r="A977" s="28"/>
      <c r="B977" s="29"/>
      <c r="C977" s="29"/>
      <c r="D977" s="29"/>
      <c r="E977" s="29"/>
      <c r="H977" s="27"/>
      <c r="K977"/>
      <c r="P977" s="27"/>
      <c r="Q977" s="27"/>
      <c r="R977" s="27"/>
    </row>
    <row r="978" spans="1:18">
      <c r="A978" s="28"/>
      <c r="B978" s="29"/>
      <c r="C978" s="29"/>
      <c r="D978" s="29"/>
      <c r="E978" s="29"/>
      <c r="H978" s="27"/>
      <c r="K978"/>
      <c r="P978" s="27"/>
      <c r="Q978" s="27"/>
      <c r="R978" s="27"/>
    </row>
    <row r="979" spans="1:18">
      <c r="A979" s="28"/>
      <c r="B979" s="29"/>
      <c r="C979" s="29"/>
      <c r="D979" s="29"/>
      <c r="E979" s="29"/>
      <c r="H979" s="27"/>
      <c r="K979"/>
      <c r="P979" s="27"/>
      <c r="Q979" s="27"/>
      <c r="R979" s="27"/>
    </row>
    <row r="980" spans="1:18">
      <c r="A980" s="28"/>
      <c r="B980" s="29"/>
      <c r="C980" s="29"/>
      <c r="D980" s="29"/>
      <c r="E980" s="29"/>
      <c r="H980" s="27"/>
      <c r="K980"/>
      <c r="P980" s="27"/>
      <c r="Q980" s="27"/>
      <c r="R980" s="27"/>
    </row>
    <row r="981" spans="1:18">
      <c r="A981" s="28"/>
      <c r="B981" s="29"/>
      <c r="C981" s="29"/>
      <c r="D981" s="29"/>
      <c r="E981" s="29"/>
      <c r="H981" s="27"/>
      <c r="K981"/>
      <c r="P981" s="27"/>
      <c r="Q981" s="27"/>
      <c r="R981" s="27"/>
    </row>
    <row r="982" spans="1:18">
      <c r="A982" s="28"/>
      <c r="B982" s="29"/>
      <c r="C982" s="29"/>
      <c r="D982" s="29"/>
      <c r="E982" s="29"/>
      <c r="H982" s="27"/>
      <c r="K982"/>
      <c r="P982" s="27"/>
      <c r="Q982" s="27"/>
      <c r="R982" s="27"/>
    </row>
    <row r="983" spans="1:18">
      <c r="A983" s="28"/>
      <c r="B983" s="29"/>
      <c r="C983" s="29"/>
      <c r="D983" s="29"/>
      <c r="E983" s="29"/>
      <c r="H983" s="27"/>
      <c r="K983"/>
      <c r="P983" s="27"/>
      <c r="Q983" s="27"/>
      <c r="R983" s="27"/>
    </row>
    <row r="984" spans="1:18">
      <c r="A984" s="28"/>
      <c r="B984" s="29"/>
      <c r="C984" s="29"/>
      <c r="D984" s="29"/>
      <c r="E984" s="29"/>
      <c r="H984" s="27"/>
      <c r="K984"/>
      <c r="P984" s="27"/>
      <c r="Q984" s="27"/>
      <c r="R984" s="27"/>
    </row>
    <row r="985" spans="1:18">
      <c r="A985" s="28"/>
      <c r="B985" s="29"/>
      <c r="C985" s="29"/>
      <c r="D985" s="29"/>
      <c r="E985" s="29"/>
      <c r="H985" s="27"/>
      <c r="K985"/>
      <c r="P985" s="27"/>
      <c r="Q985" s="27"/>
      <c r="R985" s="27"/>
    </row>
    <row r="986" spans="1:18">
      <c r="A986" s="28"/>
      <c r="B986" s="29"/>
      <c r="C986" s="29"/>
      <c r="D986" s="29"/>
      <c r="E986" s="29"/>
      <c r="H986" s="27"/>
      <c r="K986"/>
      <c r="P986" s="27"/>
      <c r="Q986" s="27"/>
      <c r="R986" s="27"/>
    </row>
    <row r="987" spans="1:18">
      <c r="A987" s="28"/>
      <c r="B987" s="29"/>
      <c r="C987" s="29"/>
      <c r="D987" s="29"/>
      <c r="E987" s="29"/>
      <c r="H987" s="27"/>
      <c r="K987"/>
      <c r="P987" s="27"/>
      <c r="Q987" s="27"/>
      <c r="R987" s="27"/>
    </row>
    <row r="988" spans="1:18">
      <c r="A988" s="28"/>
      <c r="B988" s="29"/>
      <c r="C988" s="29"/>
      <c r="D988" s="29"/>
      <c r="E988" s="29"/>
      <c r="H988" s="27"/>
      <c r="K988"/>
      <c r="P988" s="27"/>
      <c r="Q988" s="27"/>
      <c r="R988" s="27"/>
    </row>
    <row r="989" spans="1:18">
      <c r="A989" s="28"/>
      <c r="B989" s="29"/>
      <c r="C989" s="29"/>
      <c r="D989" s="29"/>
      <c r="E989" s="29"/>
      <c r="H989" s="27"/>
      <c r="K989"/>
      <c r="P989" s="27"/>
      <c r="Q989" s="27"/>
      <c r="R989" s="27"/>
    </row>
    <row r="990" spans="1:18">
      <c r="A990" s="28"/>
      <c r="B990" s="29"/>
      <c r="C990" s="29"/>
      <c r="D990" s="29"/>
      <c r="E990" s="29"/>
      <c r="H990" s="27"/>
      <c r="K990"/>
      <c r="P990" s="27"/>
      <c r="Q990" s="27"/>
      <c r="R990" s="27"/>
    </row>
    <row r="991" spans="1:18">
      <c r="A991" s="28"/>
      <c r="B991" s="29"/>
      <c r="C991" s="29"/>
      <c r="D991" s="29"/>
      <c r="E991" s="29"/>
      <c r="H991" s="27"/>
      <c r="K991"/>
      <c r="P991" s="27"/>
      <c r="Q991" s="27"/>
      <c r="R991" s="27"/>
    </row>
    <row r="992" spans="1:18">
      <c r="A992" s="28"/>
      <c r="B992" s="29"/>
      <c r="C992" s="29"/>
      <c r="D992" s="29"/>
      <c r="E992" s="29"/>
      <c r="H992" s="27"/>
      <c r="K992"/>
      <c r="P992" s="27"/>
      <c r="Q992" s="27"/>
      <c r="R992" s="27"/>
    </row>
    <row r="993" spans="1:18">
      <c r="A993" s="28"/>
      <c r="B993" s="29"/>
      <c r="C993" s="29"/>
      <c r="D993" s="29"/>
      <c r="E993" s="29"/>
      <c r="H993" s="27"/>
      <c r="K993"/>
      <c r="P993" s="27"/>
      <c r="Q993" s="27"/>
      <c r="R993" s="27"/>
    </row>
    <row r="994" spans="1:18">
      <c r="A994" s="28"/>
      <c r="B994" s="29"/>
      <c r="C994" s="29"/>
      <c r="D994" s="29"/>
      <c r="E994" s="29"/>
      <c r="H994" s="27"/>
      <c r="K994"/>
      <c r="P994" s="27"/>
      <c r="Q994" s="27"/>
      <c r="R994" s="27"/>
    </row>
    <row r="995" spans="1:18">
      <c r="A995" s="28"/>
      <c r="B995" s="29"/>
      <c r="C995" s="29"/>
      <c r="D995" s="29"/>
      <c r="E995" s="29"/>
      <c r="H995" s="27"/>
      <c r="K995"/>
      <c r="P995" s="27"/>
      <c r="Q995" s="27"/>
      <c r="R995" s="27"/>
    </row>
    <row r="996" spans="1:18">
      <c r="A996" s="28"/>
      <c r="B996" s="29"/>
      <c r="C996" s="29"/>
      <c r="D996" s="29"/>
      <c r="E996" s="29"/>
      <c r="H996" s="27"/>
      <c r="K996"/>
      <c r="P996" s="27"/>
      <c r="Q996" s="27"/>
      <c r="R996" s="27"/>
    </row>
    <row r="997" spans="1:18">
      <c r="A997" s="28"/>
      <c r="B997" s="29"/>
      <c r="C997" s="29"/>
      <c r="D997" s="29"/>
      <c r="E997" s="29"/>
      <c r="H997" s="27"/>
      <c r="K997"/>
      <c r="P997" s="27"/>
      <c r="Q997" s="27"/>
      <c r="R997" s="27"/>
    </row>
    <row r="998" spans="1:18">
      <c r="A998" s="28"/>
      <c r="B998" s="29"/>
      <c r="C998" s="29"/>
      <c r="D998" s="29"/>
      <c r="E998" s="29"/>
      <c r="H998" s="27"/>
      <c r="K998"/>
      <c r="P998" s="27"/>
      <c r="Q998" s="27"/>
      <c r="R998" s="27"/>
    </row>
    <row r="999" spans="1:18">
      <c r="A999" s="28"/>
      <c r="B999" s="29"/>
      <c r="C999" s="29"/>
      <c r="D999" s="29"/>
      <c r="E999" s="29"/>
      <c r="H999" s="27"/>
      <c r="K999"/>
      <c r="P999" s="27"/>
      <c r="Q999" s="27"/>
      <c r="R999" s="27"/>
    </row>
    <row r="1000" spans="1:18">
      <c r="A1000" s="28"/>
      <c r="B1000" s="29"/>
      <c r="C1000" s="29"/>
      <c r="D1000" s="29"/>
      <c r="E1000" s="29"/>
      <c r="H1000" s="27"/>
      <c r="K1000"/>
      <c r="P1000" s="27"/>
      <c r="Q1000" s="27"/>
      <c r="R1000" s="27"/>
    </row>
    <row r="1001" spans="1:18">
      <c r="A1001" s="28"/>
      <c r="B1001" s="29"/>
      <c r="C1001" s="29"/>
      <c r="D1001" s="29"/>
      <c r="E1001" s="29"/>
      <c r="H1001" s="27"/>
      <c r="K1001"/>
      <c r="P1001" s="27"/>
      <c r="Q1001" s="27"/>
      <c r="R1001" s="27"/>
    </row>
    <row r="1002" spans="1:18">
      <c r="A1002" s="28"/>
      <c r="B1002" s="29"/>
      <c r="C1002" s="29"/>
      <c r="D1002" s="29"/>
      <c r="E1002" s="29"/>
      <c r="H1002" s="27"/>
      <c r="K1002"/>
      <c r="P1002" s="27"/>
      <c r="Q1002" s="27"/>
      <c r="R1002" s="27"/>
    </row>
    <row r="1003" spans="1:18">
      <c r="A1003" s="28"/>
      <c r="B1003" s="29"/>
      <c r="C1003" s="29"/>
      <c r="D1003" s="29"/>
      <c r="E1003" s="29"/>
      <c r="H1003" s="27"/>
      <c r="K1003"/>
      <c r="P1003" s="27"/>
      <c r="Q1003" s="27"/>
      <c r="R1003" s="27"/>
    </row>
    <row r="1004" spans="1:18">
      <c r="A1004" s="28"/>
      <c r="B1004" s="29"/>
      <c r="C1004" s="29"/>
      <c r="D1004" s="29"/>
      <c r="E1004" s="29"/>
      <c r="H1004" s="27"/>
      <c r="K1004"/>
      <c r="P1004" s="27"/>
      <c r="Q1004" s="27"/>
      <c r="R1004" s="27"/>
    </row>
    <row r="1005" spans="1:18">
      <c r="A1005" s="28"/>
      <c r="B1005" s="29"/>
      <c r="C1005" s="29"/>
      <c r="D1005" s="29"/>
      <c r="E1005" s="29"/>
      <c r="H1005" s="27"/>
      <c r="K1005"/>
      <c r="P1005" s="27"/>
      <c r="Q1005" s="27"/>
      <c r="R1005" s="27"/>
    </row>
    <row r="1006" spans="1:18">
      <c r="A1006" s="28"/>
      <c r="B1006" s="29"/>
      <c r="C1006" s="29"/>
      <c r="D1006" s="29"/>
      <c r="E1006" s="29"/>
      <c r="H1006" s="27"/>
      <c r="K1006"/>
      <c r="P1006" s="27"/>
      <c r="Q1006" s="27"/>
      <c r="R1006" s="27"/>
    </row>
    <row r="1007" spans="1:18">
      <c r="A1007" s="28"/>
      <c r="B1007" s="29"/>
      <c r="C1007" s="29"/>
      <c r="D1007" s="29"/>
      <c r="E1007" s="29"/>
      <c r="H1007" s="27"/>
      <c r="K1007"/>
      <c r="P1007" s="27"/>
      <c r="Q1007" s="27"/>
      <c r="R1007" s="27"/>
    </row>
    <row r="1008" spans="1:18">
      <c r="A1008" s="28"/>
      <c r="B1008" s="29"/>
      <c r="C1008" s="29"/>
      <c r="D1008" s="29"/>
      <c r="E1008" s="29"/>
      <c r="H1008" s="27"/>
      <c r="K1008"/>
      <c r="P1008" s="27"/>
      <c r="Q1008" s="27"/>
      <c r="R1008" s="27"/>
    </row>
    <row r="1009" spans="1:18">
      <c r="A1009" s="28"/>
      <c r="B1009" s="29"/>
      <c r="C1009" s="29"/>
      <c r="D1009" s="29"/>
      <c r="E1009" s="29"/>
      <c r="H1009" s="27"/>
      <c r="K1009"/>
      <c r="P1009" s="27"/>
      <c r="Q1009" s="27"/>
      <c r="R1009" s="27"/>
    </row>
    <row r="1010" spans="1:18">
      <c r="A1010" s="28"/>
      <c r="B1010" s="29"/>
      <c r="C1010" s="29"/>
      <c r="D1010" s="29"/>
      <c r="E1010" s="29"/>
      <c r="H1010" s="27"/>
      <c r="K1010"/>
      <c r="P1010" s="27"/>
      <c r="Q1010" s="27"/>
      <c r="R1010" s="27"/>
    </row>
    <row r="1011" spans="1:18">
      <c r="A1011" s="28"/>
      <c r="B1011" s="29"/>
      <c r="C1011" s="29"/>
      <c r="D1011" s="29"/>
      <c r="E1011" s="29"/>
      <c r="H1011" s="27"/>
      <c r="K1011"/>
      <c r="P1011" s="27"/>
      <c r="Q1011" s="27"/>
      <c r="R1011" s="27"/>
    </row>
    <row r="1012" spans="1:18">
      <c r="A1012" s="28"/>
      <c r="B1012" s="29"/>
      <c r="C1012" s="29"/>
      <c r="D1012" s="29"/>
      <c r="E1012" s="29"/>
      <c r="H1012" s="27"/>
      <c r="K1012"/>
      <c r="P1012" s="27"/>
      <c r="Q1012" s="27"/>
      <c r="R1012" s="27"/>
    </row>
    <row r="1013" spans="1:18">
      <c r="A1013" s="28"/>
      <c r="B1013" s="29"/>
      <c r="C1013" s="29"/>
      <c r="D1013" s="29"/>
      <c r="E1013" s="29"/>
      <c r="H1013" s="27"/>
      <c r="K1013"/>
      <c r="P1013" s="27"/>
      <c r="Q1013" s="27"/>
      <c r="R1013" s="27"/>
    </row>
    <row r="1014" spans="1:18">
      <c r="A1014" s="28"/>
      <c r="B1014" s="29"/>
      <c r="C1014" s="29"/>
      <c r="D1014" s="29"/>
      <c r="E1014" s="29"/>
      <c r="H1014" s="27"/>
      <c r="K1014"/>
      <c r="P1014" s="27"/>
      <c r="Q1014" s="27"/>
      <c r="R1014" s="27"/>
    </row>
    <row r="1015" spans="1:18">
      <c r="A1015" s="28"/>
      <c r="B1015" s="29"/>
      <c r="C1015" s="29"/>
      <c r="D1015" s="29"/>
      <c r="E1015" s="29"/>
      <c r="H1015" s="27"/>
      <c r="K1015"/>
      <c r="P1015" s="27"/>
      <c r="Q1015" s="27"/>
      <c r="R1015" s="27"/>
    </row>
    <row r="1016" spans="1:18">
      <c r="A1016" s="28"/>
      <c r="B1016" s="29"/>
      <c r="C1016" s="29"/>
      <c r="D1016" s="29"/>
      <c r="E1016" s="29"/>
      <c r="H1016" s="27"/>
      <c r="K1016"/>
      <c r="P1016" s="27"/>
      <c r="Q1016" s="27"/>
      <c r="R1016" s="27"/>
    </row>
    <row r="1017" spans="1:18">
      <c r="A1017" s="28"/>
      <c r="B1017" s="29"/>
      <c r="C1017" s="29"/>
      <c r="D1017" s="29"/>
      <c r="E1017" s="29"/>
      <c r="H1017" s="27"/>
      <c r="K1017"/>
      <c r="P1017" s="27"/>
      <c r="Q1017" s="27"/>
      <c r="R1017" s="27"/>
    </row>
    <row r="1018" spans="1:18">
      <c r="A1018" s="28"/>
      <c r="B1018" s="29"/>
      <c r="C1018" s="29"/>
      <c r="D1018" s="29"/>
      <c r="E1018" s="29"/>
      <c r="H1018" s="27"/>
      <c r="K1018"/>
      <c r="P1018" s="27"/>
      <c r="Q1018" s="27"/>
      <c r="R1018" s="27"/>
    </row>
    <row r="1019" spans="1:18">
      <c r="A1019" s="28"/>
      <c r="B1019" s="29"/>
      <c r="C1019" s="29"/>
      <c r="D1019" s="29"/>
      <c r="E1019" s="29"/>
      <c r="H1019" s="27"/>
      <c r="K1019"/>
      <c r="P1019" s="27"/>
      <c r="Q1019" s="27"/>
      <c r="R1019" s="27"/>
    </row>
    <row r="1020" spans="1:18">
      <c r="A1020" s="28"/>
      <c r="B1020" s="29"/>
      <c r="C1020" s="29"/>
      <c r="D1020" s="29"/>
      <c r="E1020" s="29"/>
      <c r="H1020" s="27"/>
      <c r="K1020"/>
      <c r="P1020" s="27"/>
      <c r="Q1020" s="27"/>
      <c r="R1020" s="27"/>
    </row>
    <row r="1021" spans="1:18">
      <c r="A1021" s="28"/>
      <c r="B1021" s="29"/>
      <c r="C1021" s="29"/>
      <c r="D1021" s="29"/>
      <c r="E1021" s="29"/>
      <c r="H1021" s="27"/>
      <c r="K1021"/>
      <c r="P1021" s="27"/>
      <c r="Q1021" s="27"/>
      <c r="R1021" s="27"/>
    </row>
    <row r="1022" spans="1:18">
      <c r="A1022" s="28"/>
      <c r="B1022" s="29"/>
      <c r="C1022" s="29"/>
      <c r="D1022" s="29"/>
      <c r="E1022" s="29"/>
      <c r="H1022" s="27"/>
      <c r="K1022"/>
      <c r="P1022" s="27"/>
      <c r="Q1022" s="27"/>
      <c r="R1022" s="27"/>
    </row>
    <row r="1023" spans="1:18">
      <c r="A1023" s="28"/>
      <c r="B1023" s="29"/>
      <c r="C1023" s="29"/>
      <c r="D1023" s="29"/>
      <c r="E1023" s="29"/>
      <c r="H1023" s="27"/>
      <c r="K1023"/>
      <c r="P1023" s="27"/>
      <c r="Q1023" s="27"/>
      <c r="R1023" s="27"/>
    </row>
    <row r="1024" spans="1:18">
      <c r="A1024" s="28"/>
      <c r="B1024" s="29"/>
      <c r="C1024" s="29"/>
      <c r="D1024" s="29"/>
      <c r="E1024" s="29"/>
      <c r="H1024" s="27"/>
      <c r="K1024"/>
      <c r="P1024" s="27"/>
      <c r="Q1024" s="27"/>
      <c r="R1024" s="27"/>
    </row>
    <row r="1025" spans="1:18">
      <c r="A1025" s="28"/>
      <c r="B1025" s="29"/>
      <c r="C1025" s="29"/>
      <c r="D1025" s="29"/>
      <c r="E1025" s="29"/>
      <c r="H1025" s="27"/>
      <c r="K1025"/>
      <c r="P1025" s="27"/>
      <c r="Q1025" s="27"/>
      <c r="R1025" s="27"/>
    </row>
    <row r="1026" spans="1:18">
      <c r="A1026" s="28"/>
      <c r="B1026" s="29"/>
      <c r="C1026" s="29"/>
      <c r="D1026" s="29"/>
      <c r="E1026" s="29"/>
      <c r="H1026" s="27"/>
      <c r="K1026"/>
      <c r="P1026" s="27"/>
      <c r="Q1026" s="27"/>
      <c r="R1026" s="27"/>
    </row>
    <row r="1027" spans="1:18">
      <c r="A1027" s="28"/>
      <c r="B1027" s="29"/>
      <c r="C1027" s="29"/>
      <c r="D1027" s="29"/>
      <c r="E1027" s="29"/>
      <c r="H1027" s="27"/>
      <c r="K1027"/>
      <c r="P1027" s="27"/>
      <c r="Q1027" s="27"/>
      <c r="R1027" s="27"/>
    </row>
    <row r="1028" spans="1:18">
      <c r="A1028" s="28"/>
      <c r="B1028" s="29"/>
      <c r="C1028" s="29"/>
      <c r="D1028" s="29"/>
      <c r="E1028" s="29"/>
      <c r="H1028" s="27"/>
      <c r="K1028"/>
      <c r="P1028" s="27"/>
      <c r="Q1028" s="27"/>
      <c r="R1028" s="27"/>
    </row>
    <row r="1029" spans="1:18">
      <c r="A1029" s="28"/>
      <c r="B1029" s="29"/>
      <c r="C1029" s="29"/>
      <c r="D1029" s="29"/>
      <c r="E1029" s="29"/>
      <c r="H1029" s="27"/>
      <c r="K1029"/>
      <c r="P1029" s="27"/>
      <c r="Q1029" s="27"/>
      <c r="R1029" s="27"/>
    </row>
    <row r="1030" spans="1:18">
      <c r="A1030" s="28"/>
      <c r="B1030" s="29"/>
      <c r="C1030" s="29"/>
      <c r="D1030" s="29"/>
      <c r="E1030" s="29"/>
      <c r="H1030" s="27"/>
      <c r="K1030"/>
      <c r="P1030" s="27"/>
      <c r="Q1030" s="27"/>
      <c r="R1030" s="27"/>
    </row>
    <row r="1031" spans="1:18">
      <c r="A1031" s="28"/>
      <c r="B1031" s="29"/>
      <c r="C1031" s="29"/>
      <c r="D1031" s="29"/>
      <c r="E1031" s="29"/>
      <c r="H1031" s="27"/>
      <c r="K1031"/>
      <c r="P1031" s="27"/>
      <c r="Q1031" s="27"/>
      <c r="R1031" s="27"/>
    </row>
    <row r="1032" spans="1:18">
      <c r="A1032" s="28"/>
      <c r="B1032" s="29"/>
      <c r="C1032" s="29"/>
      <c r="D1032" s="29"/>
      <c r="E1032" s="29"/>
      <c r="H1032" s="27"/>
      <c r="K1032"/>
      <c r="P1032" s="27"/>
      <c r="Q1032" s="27"/>
      <c r="R1032" s="27"/>
    </row>
    <row r="1033" spans="1:18">
      <c r="A1033" s="28"/>
      <c r="B1033" s="29"/>
      <c r="C1033" s="29"/>
      <c r="D1033" s="29"/>
      <c r="E1033" s="29"/>
      <c r="H1033" s="27"/>
      <c r="K1033"/>
      <c r="P1033" s="27"/>
      <c r="Q1033" s="27"/>
      <c r="R1033" s="27"/>
    </row>
    <row r="1034" spans="1:18">
      <c r="A1034" s="28"/>
      <c r="B1034" s="29"/>
      <c r="C1034" s="29"/>
      <c r="D1034" s="29"/>
      <c r="E1034" s="29"/>
      <c r="H1034" s="27"/>
      <c r="K1034"/>
      <c r="P1034" s="27"/>
      <c r="Q1034" s="27"/>
      <c r="R1034" s="27"/>
    </row>
    <row r="1035" spans="1:18">
      <c r="A1035" s="28"/>
      <c r="B1035" s="29"/>
      <c r="C1035" s="29"/>
      <c r="D1035" s="29"/>
      <c r="E1035" s="29"/>
      <c r="H1035" s="27"/>
      <c r="K1035"/>
      <c r="P1035" s="27"/>
      <c r="Q1035" s="27"/>
      <c r="R1035" s="27"/>
    </row>
    <row r="1036" spans="1:18">
      <c r="A1036" s="28"/>
      <c r="B1036" s="29"/>
      <c r="C1036" s="29"/>
      <c r="D1036" s="29"/>
      <c r="E1036" s="29"/>
      <c r="H1036" s="27"/>
      <c r="K1036"/>
      <c r="P1036" s="27"/>
      <c r="Q1036" s="27"/>
      <c r="R1036" s="27"/>
    </row>
    <row r="1037" spans="1:18">
      <c r="A1037" s="28"/>
      <c r="B1037" s="29"/>
      <c r="C1037" s="29"/>
      <c r="D1037" s="29"/>
      <c r="E1037" s="29"/>
      <c r="H1037" s="27"/>
      <c r="K1037"/>
      <c r="P1037" s="27"/>
      <c r="Q1037" s="27"/>
      <c r="R1037" s="27"/>
    </row>
    <row r="1038" spans="1:18">
      <c r="A1038" s="28"/>
      <c r="B1038" s="29"/>
      <c r="C1038" s="29"/>
      <c r="D1038" s="29"/>
      <c r="E1038" s="29"/>
      <c r="H1038" s="27"/>
      <c r="K1038"/>
      <c r="P1038" s="27"/>
      <c r="Q1038" s="27"/>
      <c r="R1038" s="27"/>
    </row>
    <row r="1039" spans="1:18">
      <c r="A1039" s="28"/>
      <c r="B1039" s="29"/>
      <c r="C1039" s="29"/>
      <c r="D1039" s="29"/>
      <c r="E1039" s="29"/>
      <c r="H1039" s="27"/>
      <c r="K1039"/>
      <c r="P1039" s="27"/>
      <c r="Q1039" s="27"/>
      <c r="R1039" s="27"/>
    </row>
    <row r="1040" spans="1:18">
      <c r="A1040" s="28"/>
      <c r="B1040" s="29"/>
      <c r="C1040" s="29"/>
      <c r="D1040" s="29"/>
      <c r="E1040" s="29"/>
      <c r="H1040" s="27"/>
      <c r="K1040"/>
      <c r="P1040" s="27"/>
      <c r="Q1040" s="27"/>
      <c r="R1040" s="27"/>
    </row>
    <row r="1041" spans="1:18">
      <c r="A1041" s="28"/>
      <c r="B1041" s="29"/>
      <c r="C1041" s="29"/>
      <c r="D1041" s="29"/>
      <c r="E1041" s="29"/>
      <c r="H1041" s="27"/>
      <c r="K1041"/>
      <c r="P1041" s="27"/>
      <c r="Q1041" s="27"/>
      <c r="R1041" s="27"/>
    </row>
    <row r="1042" spans="1:18">
      <c r="A1042" s="28"/>
      <c r="B1042" s="29"/>
      <c r="C1042" s="29"/>
      <c r="D1042" s="29"/>
      <c r="E1042" s="29"/>
      <c r="H1042" s="27"/>
      <c r="K1042"/>
      <c r="P1042" s="27"/>
      <c r="Q1042" s="27"/>
      <c r="R1042" s="27"/>
    </row>
    <row r="1043" spans="1:18">
      <c r="A1043" s="28"/>
      <c r="B1043" s="29"/>
      <c r="C1043" s="29"/>
      <c r="D1043" s="29"/>
      <c r="E1043" s="29"/>
      <c r="H1043" s="27"/>
      <c r="K1043"/>
      <c r="P1043" s="27"/>
      <c r="Q1043" s="27"/>
      <c r="R1043" s="27"/>
    </row>
    <row r="1044" spans="1:18">
      <c r="A1044" s="28"/>
      <c r="B1044" s="29"/>
      <c r="C1044" s="29"/>
      <c r="D1044" s="29"/>
      <c r="E1044" s="29"/>
      <c r="H1044" s="27"/>
      <c r="K1044"/>
      <c r="P1044" s="27"/>
      <c r="Q1044" s="27"/>
      <c r="R1044" s="27"/>
    </row>
    <row r="1045" spans="1:18">
      <c r="A1045" s="28"/>
      <c r="B1045" s="29"/>
      <c r="C1045" s="29"/>
      <c r="D1045" s="29"/>
      <c r="E1045" s="29"/>
      <c r="H1045" s="27"/>
      <c r="K1045"/>
      <c r="P1045" s="27"/>
      <c r="Q1045" s="27"/>
      <c r="R1045" s="27"/>
    </row>
    <row r="1046" spans="1:18">
      <c r="A1046" s="28"/>
      <c r="B1046" s="29"/>
      <c r="C1046" s="29"/>
      <c r="D1046" s="29"/>
      <c r="E1046" s="29"/>
      <c r="H1046" s="27"/>
      <c r="K1046"/>
      <c r="P1046" s="27"/>
      <c r="Q1046" s="27"/>
      <c r="R1046" s="27"/>
    </row>
    <row r="1047" spans="1:18">
      <c r="A1047" s="28"/>
      <c r="B1047" s="29"/>
      <c r="C1047" s="29"/>
      <c r="D1047" s="29"/>
      <c r="E1047" s="29"/>
      <c r="H1047" s="27"/>
      <c r="K1047"/>
      <c r="P1047" s="27"/>
      <c r="Q1047" s="27"/>
      <c r="R1047" s="27"/>
    </row>
    <row r="1048" spans="1:18">
      <c r="A1048" s="28"/>
      <c r="B1048" s="29"/>
      <c r="C1048" s="29"/>
      <c r="D1048" s="29"/>
      <c r="E1048" s="29"/>
      <c r="H1048" s="27"/>
      <c r="K1048"/>
      <c r="P1048" s="27"/>
      <c r="Q1048" s="27"/>
      <c r="R1048" s="27"/>
    </row>
    <row r="1049" spans="1:18">
      <c r="A1049" s="28"/>
      <c r="B1049" s="29"/>
      <c r="C1049" s="29"/>
      <c r="D1049" s="29"/>
      <c r="E1049" s="29"/>
      <c r="H1049" s="27"/>
      <c r="K1049"/>
      <c r="P1049" s="27"/>
      <c r="Q1049" s="27"/>
      <c r="R1049" s="27"/>
    </row>
    <row r="1050" spans="1:18">
      <c r="A1050" s="28"/>
      <c r="B1050" s="29"/>
      <c r="C1050" s="29"/>
      <c r="D1050" s="29"/>
      <c r="E1050" s="29"/>
      <c r="H1050" s="27"/>
      <c r="K1050"/>
      <c r="P1050" s="27"/>
      <c r="Q1050" s="27"/>
      <c r="R1050" s="27"/>
    </row>
    <row r="1051" spans="1:18">
      <c r="A1051" s="28"/>
      <c r="B1051" s="29"/>
      <c r="C1051" s="29"/>
      <c r="D1051" s="29"/>
      <c r="E1051" s="29"/>
      <c r="H1051" s="27"/>
      <c r="K1051"/>
      <c r="P1051" s="27"/>
      <c r="Q1051" s="27"/>
      <c r="R1051" s="27"/>
    </row>
    <row r="1052" spans="1:18">
      <c r="A1052" s="28"/>
      <c r="B1052" s="29"/>
      <c r="C1052" s="29"/>
      <c r="D1052" s="29"/>
      <c r="E1052" s="29"/>
      <c r="H1052" s="27"/>
      <c r="K1052"/>
      <c r="P1052" s="27"/>
      <c r="Q1052" s="27"/>
      <c r="R1052" s="27"/>
    </row>
    <row r="1053" spans="1:18">
      <c r="A1053" s="28"/>
      <c r="B1053" s="29"/>
      <c r="C1053" s="29"/>
      <c r="D1053" s="29"/>
      <c r="E1053" s="29"/>
      <c r="H1053" s="27"/>
      <c r="K1053"/>
      <c r="P1053" s="27"/>
      <c r="Q1053" s="27"/>
      <c r="R1053" s="27"/>
    </row>
    <row r="1054" spans="1:18">
      <c r="A1054" s="28"/>
      <c r="B1054" s="29"/>
      <c r="C1054" s="29"/>
      <c r="D1054" s="29"/>
      <c r="E1054" s="29"/>
      <c r="H1054" s="27"/>
      <c r="K1054"/>
      <c r="P1054" s="27"/>
      <c r="Q1054" s="27"/>
      <c r="R1054" s="27"/>
    </row>
    <row r="1055" spans="1:18">
      <c r="A1055" s="28"/>
      <c r="B1055" s="29"/>
      <c r="C1055" s="29"/>
      <c r="D1055" s="29"/>
      <c r="E1055" s="29"/>
      <c r="H1055" s="27"/>
      <c r="K1055"/>
      <c r="P1055" s="27"/>
      <c r="Q1055" s="27"/>
      <c r="R1055" s="27"/>
    </row>
    <row r="1056" spans="1:18">
      <c r="A1056" s="28"/>
      <c r="B1056" s="29"/>
      <c r="C1056" s="29"/>
      <c r="D1056" s="29"/>
      <c r="E1056" s="29"/>
      <c r="H1056" s="27"/>
      <c r="K1056"/>
      <c r="P1056" s="27"/>
      <c r="Q1056" s="27"/>
      <c r="R1056" s="27"/>
    </row>
    <row r="1057" spans="1:18">
      <c r="A1057" s="28"/>
      <c r="B1057" s="29"/>
      <c r="C1057" s="29"/>
      <c r="D1057" s="29"/>
      <c r="E1057" s="29"/>
      <c r="H1057" s="27"/>
      <c r="K1057"/>
      <c r="P1057" s="27"/>
      <c r="Q1057" s="27"/>
      <c r="R1057" s="27"/>
    </row>
    <row r="1058" spans="1:18">
      <c r="A1058" s="28"/>
      <c r="B1058" s="29"/>
      <c r="C1058" s="29"/>
      <c r="D1058" s="29"/>
      <c r="E1058" s="29"/>
      <c r="H1058" s="27"/>
      <c r="K1058"/>
      <c r="P1058" s="27"/>
      <c r="Q1058" s="27"/>
      <c r="R1058" s="27"/>
    </row>
    <row r="1059" spans="1:18">
      <c r="A1059" s="28"/>
      <c r="B1059" s="29"/>
      <c r="C1059" s="29"/>
      <c r="D1059" s="29"/>
      <c r="E1059" s="29"/>
      <c r="H1059" s="27"/>
      <c r="K1059"/>
      <c r="P1059" s="27"/>
      <c r="Q1059" s="27"/>
      <c r="R1059" s="27"/>
    </row>
    <row r="1060" spans="1:18">
      <c r="A1060" s="28"/>
      <c r="B1060" s="29"/>
      <c r="C1060" s="29"/>
      <c r="D1060" s="29"/>
      <c r="E1060" s="29"/>
      <c r="H1060" s="27"/>
      <c r="K1060"/>
      <c r="P1060" s="27"/>
      <c r="Q1060" s="27"/>
      <c r="R1060" s="27"/>
    </row>
    <row r="1061" spans="1:18">
      <c r="A1061" s="28"/>
      <c r="B1061" s="29"/>
      <c r="C1061" s="29"/>
      <c r="D1061" s="29"/>
      <c r="E1061" s="29"/>
      <c r="H1061" s="27"/>
      <c r="K1061"/>
      <c r="P1061" s="27"/>
      <c r="Q1061" s="27"/>
      <c r="R1061" s="27"/>
    </row>
    <row r="1062" spans="1:18">
      <c r="A1062" s="28"/>
      <c r="B1062" s="29"/>
      <c r="C1062" s="29"/>
      <c r="D1062" s="29"/>
      <c r="E1062" s="29"/>
      <c r="H1062" s="27"/>
      <c r="K1062"/>
      <c r="P1062" s="27"/>
      <c r="Q1062" s="27"/>
      <c r="R1062" s="27"/>
    </row>
    <row r="1063" spans="1:18">
      <c r="A1063" s="28"/>
      <c r="B1063" s="29"/>
      <c r="C1063" s="29"/>
      <c r="D1063" s="29"/>
      <c r="E1063" s="29"/>
      <c r="H1063" s="27"/>
      <c r="K1063"/>
      <c r="P1063" s="27"/>
      <c r="Q1063" s="27"/>
      <c r="R1063" s="27"/>
    </row>
    <row r="1064" spans="1:18">
      <c r="A1064" s="28"/>
      <c r="B1064" s="29"/>
      <c r="C1064" s="29"/>
      <c r="D1064" s="29"/>
      <c r="E1064" s="29"/>
      <c r="H1064" s="27"/>
      <c r="K1064"/>
      <c r="P1064" s="27"/>
      <c r="Q1064" s="27"/>
      <c r="R1064" s="27"/>
    </row>
    <row r="1065" spans="1:18">
      <c r="A1065" s="28"/>
      <c r="B1065" s="29"/>
      <c r="C1065" s="29"/>
      <c r="D1065" s="29"/>
      <c r="E1065" s="29"/>
      <c r="H1065" s="27"/>
      <c r="K1065"/>
      <c r="P1065" s="27"/>
      <c r="Q1065" s="27"/>
      <c r="R1065" s="27"/>
    </row>
    <row r="1066" spans="1:18">
      <c r="A1066" s="28"/>
      <c r="B1066" s="29"/>
      <c r="C1066" s="29"/>
      <c r="D1066" s="29"/>
      <c r="E1066" s="29"/>
      <c r="H1066" s="27"/>
      <c r="K1066"/>
      <c r="P1066" s="27"/>
      <c r="Q1066" s="27"/>
      <c r="R1066" s="27"/>
    </row>
    <row r="1067" spans="1:18">
      <c r="A1067" s="28"/>
      <c r="B1067" s="29"/>
      <c r="C1067" s="29"/>
      <c r="D1067" s="29"/>
      <c r="E1067" s="29"/>
      <c r="H1067" s="27"/>
      <c r="K1067"/>
      <c r="P1067" s="27"/>
      <c r="Q1067" s="27"/>
      <c r="R1067" s="27"/>
    </row>
    <row r="1068" spans="1:18">
      <c r="A1068" s="28"/>
      <c r="B1068" s="29"/>
      <c r="C1068" s="29"/>
      <c r="D1068" s="29"/>
      <c r="E1068" s="29"/>
      <c r="H1068" s="27"/>
      <c r="K1068"/>
      <c r="P1068" s="27"/>
      <c r="Q1068" s="27"/>
      <c r="R1068" s="27"/>
    </row>
    <row r="1069" spans="1:18">
      <c r="A1069" s="28"/>
      <c r="B1069" s="29"/>
      <c r="C1069" s="29"/>
      <c r="D1069" s="29"/>
      <c r="E1069" s="29"/>
      <c r="H1069" s="27"/>
      <c r="K1069"/>
      <c r="P1069" s="27"/>
      <c r="Q1069" s="27"/>
      <c r="R1069" s="27"/>
    </row>
    <row r="1070" spans="1:18">
      <c r="A1070" s="28"/>
      <c r="B1070" s="29"/>
      <c r="C1070" s="29"/>
      <c r="D1070" s="29"/>
      <c r="E1070" s="29"/>
      <c r="H1070" s="27"/>
      <c r="K1070"/>
      <c r="P1070" s="27"/>
      <c r="Q1070" s="27"/>
      <c r="R1070" s="27"/>
    </row>
    <row r="1071" spans="1:18">
      <c r="A1071" s="28"/>
      <c r="B1071" s="29"/>
      <c r="C1071" s="29"/>
      <c r="D1071" s="29"/>
      <c r="E1071" s="29"/>
      <c r="H1071" s="27"/>
      <c r="K1071"/>
      <c r="P1071" s="27"/>
      <c r="Q1071" s="27"/>
      <c r="R1071" s="27"/>
    </row>
    <row r="1072" spans="1:18">
      <c r="A1072" s="28"/>
      <c r="B1072" s="29"/>
      <c r="C1072" s="29"/>
      <c r="D1072" s="29"/>
      <c r="E1072" s="29"/>
      <c r="H1072" s="27"/>
      <c r="K1072"/>
      <c r="P1072" s="27"/>
      <c r="Q1072" s="27"/>
      <c r="R1072" s="27"/>
    </row>
    <row r="1073" spans="1:18">
      <c r="A1073" s="28"/>
      <c r="B1073" s="29"/>
      <c r="C1073" s="29"/>
      <c r="D1073" s="29"/>
      <c r="E1073" s="29"/>
      <c r="H1073" s="27"/>
      <c r="K1073"/>
      <c r="P1073" s="27"/>
      <c r="Q1073" s="27"/>
      <c r="R1073" s="27"/>
    </row>
    <row r="1074" spans="1:18">
      <c r="A1074" s="28"/>
      <c r="B1074" s="29"/>
      <c r="C1074" s="29"/>
      <c r="D1074" s="29"/>
      <c r="E1074" s="29"/>
      <c r="H1074" s="27"/>
      <c r="K1074"/>
      <c r="P1074" s="27"/>
      <c r="Q1074" s="27"/>
      <c r="R1074" s="27"/>
    </row>
    <row r="1075" spans="1:18">
      <c r="A1075" s="28"/>
      <c r="B1075" s="29"/>
      <c r="C1075" s="29"/>
      <c r="D1075" s="29"/>
      <c r="E1075" s="29"/>
      <c r="H1075" s="27"/>
      <c r="K1075"/>
      <c r="P1075" s="27"/>
      <c r="Q1075" s="27"/>
      <c r="R1075" s="27"/>
    </row>
    <row r="1076" spans="1:18">
      <c r="A1076" s="28"/>
      <c r="B1076" s="29"/>
      <c r="C1076" s="29"/>
      <c r="D1076" s="29"/>
      <c r="E1076" s="29"/>
      <c r="H1076" s="27"/>
      <c r="K1076"/>
      <c r="P1076" s="27"/>
      <c r="Q1076" s="27"/>
      <c r="R1076" s="27"/>
    </row>
    <row r="1077" spans="1:18">
      <c r="A1077" s="28"/>
      <c r="B1077" s="29"/>
      <c r="C1077" s="29"/>
      <c r="D1077" s="29"/>
      <c r="E1077" s="29"/>
      <c r="H1077" s="27"/>
      <c r="K1077"/>
      <c r="P1077" s="27"/>
      <c r="Q1077" s="27"/>
      <c r="R1077" s="27"/>
    </row>
    <row r="1078" spans="1:18">
      <c r="A1078" s="28"/>
      <c r="B1078" s="29"/>
      <c r="C1078" s="29"/>
      <c r="D1078" s="29"/>
      <c r="E1078" s="29"/>
      <c r="H1078" s="27"/>
      <c r="K1078"/>
      <c r="P1078" s="27"/>
      <c r="Q1078" s="27"/>
      <c r="R1078" s="27"/>
    </row>
    <row r="1079" spans="1:18">
      <c r="A1079" s="28"/>
      <c r="B1079" s="29"/>
      <c r="C1079" s="29"/>
      <c r="D1079" s="29"/>
      <c r="E1079" s="29"/>
      <c r="H1079" s="27"/>
      <c r="K1079"/>
      <c r="P1079" s="27"/>
      <c r="Q1079" s="27"/>
      <c r="R1079" s="27"/>
    </row>
    <row r="1080" spans="1:18">
      <c r="A1080" s="28"/>
      <c r="B1080" s="29"/>
      <c r="C1080" s="29"/>
      <c r="D1080" s="29"/>
      <c r="E1080" s="29"/>
      <c r="H1080" s="27"/>
      <c r="K1080"/>
      <c r="P1080" s="27"/>
      <c r="Q1080" s="27"/>
      <c r="R1080" s="27"/>
    </row>
    <row r="1081" spans="1:18">
      <c r="A1081" s="28"/>
      <c r="B1081" s="29"/>
      <c r="C1081" s="29"/>
      <c r="D1081" s="29"/>
      <c r="E1081" s="29"/>
      <c r="H1081" s="27"/>
      <c r="K1081"/>
      <c r="P1081" s="27"/>
      <c r="Q1081" s="27"/>
      <c r="R1081" s="27"/>
    </row>
    <row r="1082" spans="1:18">
      <c r="A1082" s="28"/>
      <c r="B1082" s="29"/>
      <c r="C1082" s="29"/>
      <c r="D1082" s="29"/>
      <c r="E1082" s="29"/>
      <c r="H1082" s="27"/>
      <c r="K1082"/>
      <c r="P1082" s="27"/>
      <c r="Q1082" s="27"/>
      <c r="R1082" s="27"/>
    </row>
    <row r="1083" spans="1:18">
      <c r="A1083" s="28"/>
      <c r="B1083" s="29"/>
      <c r="C1083" s="29"/>
      <c r="D1083" s="29"/>
      <c r="E1083" s="29"/>
      <c r="H1083" s="27"/>
      <c r="K1083"/>
      <c r="P1083" s="27"/>
      <c r="Q1083" s="27"/>
      <c r="R1083" s="27"/>
    </row>
    <row r="1084" spans="1:18">
      <c r="A1084" s="28"/>
      <c r="B1084" s="29"/>
      <c r="C1084" s="29"/>
      <c r="D1084" s="29"/>
      <c r="E1084" s="29"/>
      <c r="H1084" s="27"/>
      <c r="K1084"/>
      <c r="P1084" s="27"/>
      <c r="Q1084" s="27"/>
      <c r="R1084" s="27"/>
    </row>
    <row r="1085" spans="1:18">
      <c r="A1085" s="28"/>
      <c r="B1085" s="29"/>
      <c r="C1085" s="29"/>
      <c r="D1085" s="29"/>
      <c r="E1085" s="29"/>
      <c r="H1085" s="27"/>
      <c r="K1085"/>
      <c r="P1085" s="27"/>
      <c r="Q1085" s="27"/>
      <c r="R1085" s="27"/>
    </row>
    <row r="1086" spans="1:18">
      <c r="A1086" s="28"/>
      <c r="B1086" s="29"/>
      <c r="C1086" s="29"/>
      <c r="D1086" s="29"/>
      <c r="E1086" s="29"/>
      <c r="H1086" s="27"/>
      <c r="K1086"/>
      <c r="P1086" s="27"/>
      <c r="Q1086" s="27"/>
      <c r="R1086" s="27"/>
    </row>
    <row r="1087" spans="1:18">
      <c r="A1087" s="28"/>
      <c r="B1087" s="29"/>
      <c r="C1087" s="29"/>
      <c r="D1087" s="29"/>
      <c r="E1087" s="29"/>
      <c r="H1087" s="27"/>
      <c r="K1087"/>
      <c r="P1087" s="27"/>
      <c r="Q1087" s="27"/>
      <c r="R1087" s="27"/>
    </row>
    <row r="1088" spans="1:18">
      <c r="A1088" s="28"/>
      <c r="B1088" s="29"/>
      <c r="C1088" s="29"/>
      <c r="D1088" s="29"/>
      <c r="E1088" s="29"/>
      <c r="H1088" s="27"/>
      <c r="K1088"/>
      <c r="P1088" s="27"/>
      <c r="Q1088" s="27"/>
      <c r="R1088" s="27"/>
    </row>
    <row r="1089" spans="1:18">
      <c r="A1089" s="28"/>
      <c r="B1089" s="29"/>
      <c r="C1089" s="29"/>
      <c r="D1089" s="29"/>
      <c r="E1089" s="29"/>
      <c r="H1089" s="27"/>
      <c r="K1089"/>
      <c r="P1089" s="27"/>
      <c r="Q1089" s="27"/>
      <c r="R1089" s="27"/>
    </row>
    <row r="1090" spans="1:18">
      <c r="A1090" s="28"/>
      <c r="B1090" s="29"/>
      <c r="C1090" s="29"/>
      <c r="D1090" s="29"/>
      <c r="E1090" s="29"/>
      <c r="H1090" s="27"/>
      <c r="K1090"/>
      <c r="P1090" s="27"/>
      <c r="Q1090" s="27"/>
      <c r="R1090" s="27"/>
    </row>
    <row r="1091" spans="1:18">
      <c r="A1091" s="28"/>
      <c r="B1091" s="29"/>
      <c r="C1091" s="29"/>
      <c r="D1091" s="29"/>
      <c r="E1091" s="29"/>
      <c r="H1091" s="27"/>
      <c r="K1091"/>
      <c r="P1091" s="27"/>
      <c r="Q1091" s="27"/>
      <c r="R1091" s="27"/>
    </row>
    <row r="1092" spans="1:18">
      <c r="A1092" s="28"/>
      <c r="B1092" s="29"/>
      <c r="C1092" s="29"/>
      <c r="D1092" s="29"/>
      <c r="E1092" s="29"/>
      <c r="H1092" s="27"/>
      <c r="K1092"/>
      <c r="P1092" s="27"/>
      <c r="Q1092" s="27"/>
      <c r="R1092" s="27"/>
    </row>
    <row r="1093" spans="1:18">
      <c r="A1093" s="28"/>
      <c r="B1093" s="29"/>
      <c r="C1093" s="29"/>
      <c r="D1093" s="29"/>
      <c r="E1093" s="29"/>
      <c r="H1093" s="27"/>
      <c r="K1093"/>
      <c r="P1093" s="27"/>
      <c r="Q1093" s="27"/>
      <c r="R1093" s="27"/>
    </row>
    <row r="1094" spans="1:18">
      <c r="A1094" s="28"/>
      <c r="B1094" s="29"/>
      <c r="C1094" s="29"/>
      <c r="D1094" s="29"/>
      <c r="E1094" s="29"/>
      <c r="H1094" s="27"/>
      <c r="K1094"/>
      <c r="P1094" s="27"/>
      <c r="Q1094" s="27"/>
      <c r="R1094" s="27"/>
    </row>
    <row r="1095" spans="1:18">
      <c r="A1095" s="28"/>
      <c r="B1095" s="29"/>
      <c r="C1095" s="29"/>
      <c r="D1095" s="29"/>
      <c r="E1095" s="29"/>
      <c r="H1095" s="27"/>
      <c r="K1095"/>
      <c r="P1095" s="27"/>
      <c r="Q1095" s="27"/>
      <c r="R1095" s="27"/>
    </row>
    <row r="1096" spans="1:18">
      <c r="A1096" s="28"/>
      <c r="B1096" s="29"/>
      <c r="C1096" s="29"/>
      <c r="D1096" s="29"/>
      <c r="E1096" s="29"/>
      <c r="H1096" s="27"/>
      <c r="K1096"/>
      <c r="P1096" s="27"/>
      <c r="Q1096" s="27"/>
      <c r="R1096" s="27"/>
    </row>
    <row r="1097" spans="1:18">
      <c r="A1097" s="28"/>
      <c r="B1097" s="29"/>
      <c r="C1097" s="29"/>
      <c r="D1097" s="29"/>
      <c r="E1097" s="29"/>
      <c r="H1097" s="27"/>
      <c r="K1097"/>
      <c r="P1097" s="27"/>
      <c r="Q1097" s="27"/>
      <c r="R1097" s="27"/>
    </row>
    <row r="1098" spans="1:18">
      <c r="A1098" s="28"/>
      <c r="B1098" s="29"/>
      <c r="C1098" s="29"/>
      <c r="D1098" s="29"/>
      <c r="E1098" s="29"/>
      <c r="H1098" s="27"/>
      <c r="K1098"/>
      <c r="P1098" s="27"/>
      <c r="Q1098" s="27"/>
      <c r="R1098" s="27"/>
    </row>
    <row r="1099" spans="1:18">
      <c r="A1099" s="28"/>
      <c r="B1099" s="29"/>
      <c r="C1099" s="29"/>
      <c r="D1099" s="29"/>
      <c r="E1099" s="29"/>
      <c r="H1099" s="27"/>
      <c r="K1099"/>
      <c r="P1099" s="27"/>
      <c r="Q1099" s="27"/>
      <c r="R1099" s="27"/>
    </row>
    <row r="1100" spans="1:18">
      <c r="A1100" s="28"/>
      <c r="B1100" s="29"/>
      <c r="C1100" s="29"/>
      <c r="D1100" s="29"/>
      <c r="E1100" s="29"/>
      <c r="H1100" s="27"/>
      <c r="K1100"/>
      <c r="P1100" s="27"/>
      <c r="Q1100" s="27"/>
      <c r="R1100" s="27"/>
    </row>
    <row r="1101" spans="1:18">
      <c r="A1101" s="28"/>
      <c r="B1101" s="29"/>
      <c r="C1101" s="29"/>
      <c r="D1101" s="29"/>
      <c r="E1101" s="29"/>
      <c r="H1101" s="27"/>
      <c r="K1101"/>
      <c r="P1101" s="27"/>
      <c r="Q1101" s="27"/>
      <c r="R1101" s="27"/>
    </row>
    <row r="1102" spans="1:18">
      <c r="A1102" s="28"/>
      <c r="B1102" s="29"/>
      <c r="C1102" s="29"/>
      <c r="D1102" s="29"/>
      <c r="E1102" s="29"/>
      <c r="H1102" s="27"/>
      <c r="K1102"/>
      <c r="P1102" s="27"/>
      <c r="Q1102" s="27"/>
      <c r="R1102" s="27"/>
    </row>
    <row r="1103" spans="1:18">
      <c r="A1103" s="28"/>
      <c r="B1103" s="29"/>
      <c r="C1103" s="29"/>
      <c r="D1103" s="29"/>
      <c r="E1103" s="29"/>
      <c r="H1103" s="27"/>
      <c r="K1103"/>
      <c r="P1103" s="27"/>
      <c r="Q1103" s="27"/>
      <c r="R1103" s="27"/>
    </row>
    <row r="1104" spans="1:18">
      <c r="A1104" s="28"/>
      <c r="B1104" s="29"/>
      <c r="C1104" s="29"/>
      <c r="D1104" s="29"/>
      <c r="E1104" s="29"/>
      <c r="H1104" s="27"/>
      <c r="K1104"/>
      <c r="P1104" s="27"/>
      <c r="Q1104" s="27"/>
      <c r="R1104" s="27"/>
    </row>
    <row r="1105" spans="1:18">
      <c r="A1105" s="28"/>
      <c r="B1105" s="29"/>
      <c r="C1105" s="29"/>
      <c r="D1105" s="29"/>
      <c r="E1105" s="29"/>
      <c r="H1105" s="27"/>
      <c r="K1105"/>
      <c r="P1105" s="27"/>
      <c r="Q1105" s="27"/>
      <c r="R1105" s="27"/>
    </row>
    <row r="1106" spans="1:18">
      <c r="A1106" s="28"/>
      <c r="B1106" s="29"/>
      <c r="C1106" s="29"/>
      <c r="D1106" s="29"/>
      <c r="E1106" s="29"/>
      <c r="H1106" s="27"/>
      <c r="K1106"/>
      <c r="P1106" s="27"/>
      <c r="Q1106" s="27"/>
      <c r="R1106" s="27"/>
    </row>
    <row r="1107" spans="1:18">
      <c r="A1107" s="28"/>
      <c r="B1107" s="29"/>
      <c r="C1107" s="29"/>
      <c r="D1107" s="29"/>
      <c r="E1107" s="29"/>
      <c r="H1107" s="27"/>
      <c r="K1107"/>
      <c r="P1107" s="27"/>
      <c r="Q1107" s="27"/>
      <c r="R1107" s="27"/>
    </row>
    <row r="1108" spans="1:18">
      <c r="A1108" s="28"/>
      <c r="B1108" s="29"/>
      <c r="C1108" s="29"/>
      <c r="D1108" s="29"/>
      <c r="E1108" s="29"/>
      <c r="H1108" s="27"/>
      <c r="K1108"/>
      <c r="P1108" s="27"/>
      <c r="Q1108" s="27"/>
      <c r="R1108" s="27"/>
    </row>
    <row r="1109" spans="1:18">
      <c r="A1109" s="28"/>
      <c r="B1109" s="29"/>
      <c r="C1109" s="29"/>
      <c r="D1109" s="29"/>
      <c r="E1109" s="29"/>
      <c r="H1109" s="27"/>
      <c r="K1109"/>
      <c r="P1109" s="27"/>
      <c r="Q1109" s="27"/>
      <c r="R1109" s="27"/>
    </row>
    <row r="1110" spans="1:18">
      <c r="A1110" s="28"/>
      <c r="B1110" s="29"/>
      <c r="C1110" s="29"/>
      <c r="D1110" s="29"/>
      <c r="E1110" s="29"/>
      <c r="H1110" s="27"/>
      <c r="K1110"/>
      <c r="P1110" s="27"/>
      <c r="Q1110" s="27"/>
      <c r="R1110" s="27"/>
    </row>
    <row r="1111" spans="1:18">
      <c r="A1111" s="28"/>
      <c r="B1111" s="29"/>
      <c r="C1111" s="29"/>
      <c r="D1111" s="29"/>
      <c r="E1111" s="29"/>
      <c r="H1111" s="27"/>
      <c r="K1111"/>
      <c r="P1111" s="27"/>
      <c r="Q1111" s="27"/>
      <c r="R1111" s="27"/>
    </row>
    <row r="1112" spans="1:18">
      <c r="A1112" s="28"/>
      <c r="B1112" s="29"/>
      <c r="C1112" s="29"/>
      <c r="D1112" s="29"/>
      <c r="E1112" s="29"/>
      <c r="H1112" s="27"/>
      <c r="K1112"/>
      <c r="P1112" s="27"/>
      <c r="Q1112" s="27"/>
      <c r="R1112" s="27"/>
    </row>
    <row r="1113" spans="1:18">
      <c r="A1113" s="28"/>
      <c r="B1113" s="29"/>
      <c r="C1113" s="29"/>
      <c r="D1113" s="29"/>
      <c r="E1113" s="29"/>
      <c r="H1113" s="27"/>
      <c r="K1113"/>
      <c r="P1113" s="27"/>
      <c r="Q1113" s="27"/>
      <c r="R1113" s="27"/>
    </row>
    <row r="1114" spans="1:18">
      <c r="A1114" s="28"/>
      <c r="B1114" s="29"/>
      <c r="C1114" s="29"/>
      <c r="D1114" s="29"/>
      <c r="E1114" s="29"/>
      <c r="H1114" s="27"/>
      <c r="K1114"/>
      <c r="P1114" s="27"/>
      <c r="Q1114" s="27"/>
      <c r="R1114" s="27"/>
    </row>
    <row r="1115" spans="1:18">
      <c r="A1115" s="28"/>
      <c r="B1115" s="29"/>
      <c r="C1115" s="29"/>
      <c r="D1115" s="29"/>
      <c r="E1115" s="29"/>
      <c r="H1115" s="27"/>
      <c r="K1115"/>
      <c r="P1115" s="27"/>
      <c r="Q1115" s="27"/>
      <c r="R1115" s="27"/>
    </row>
    <row r="1116" spans="1:18">
      <c r="A1116" s="28"/>
      <c r="B1116" s="29"/>
      <c r="C1116" s="29"/>
      <c r="D1116" s="29"/>
      <c r="E1116" s="29"/>
      <c r="H1116" s="27"/>
      <c r="K1116"/>
      <c r="P1116" s="27"/>
      <c r="Q1116" s="27"/>
      <c r="R1116" s="27"/>
    </row>
    <row r="1117" spans="1:18">
      <c r="A1117" s="28"/>
      <c r="B1117" s="29"/>
      <c r="C1117" s="29"/>
      <c r="D1117" s="29"/>
      <c r="E1117" s="29"/>
      <c r="H1117" s="27"/>
      <c r="K1117"/>
      <c r="P1117" s="27"/>
      <c r="Q1117" s="27"/>
      <c r="R1117" s="27"/>
    </row>
    <row r="1118" spans="1:18">
      <c r="A1118" s="28"/>
      <c r="B1118" s="29"/>
      <c r="C1118" s="29"/>
      <c r="D1118" s="29"/>
      <c r="E1118" s="29"/>
      <c r="H1118" s="27"/>
      <c r="K1118"/>
      <c r="P1118" s="27"/>
      <c r="Q1118" s="27"/>
      <c r="R1118" s="27"/>
    </row>
    <row r="1119" spans="1:18">
      <c r="A1119" s="28"/>
      <c r="B1119" s="29"/>
      <c r="C1119" s="29"/>
      <c r="D1119" s="29"/>
      <c r="E1119" s="29"/>
      <c r="H1119" s="27"/>
      <c r="K1119"/>
      <c r="P1119" s="27"/>
      <c r="Q1119" s="27"/>
      <c r="R1119" s="27"/>
    </row>
    <row r="1120" spans="1:18">
      <c r="A1120" s="28"/>
      <c r="B1120" s="29"/>
      <c r="C1120" s="29"/>
      <c r="D1120" s="29"/>
      <c r="E1120" s="29"/>
      <c r="H1120" s="27"/>
      <c r="K1120"/>
      <c r="P1120" s="27"/>
      <c r="Q1120" s="27"/>
      <c r="R1120" s="27"/>
    </row>
    <row r="1121" spans="1:18">
      <c r="A1121" s="28"/>
      <c r="B1121" s="29"/>
      <c r="C1121" s="29"/>
      <c r="D1121" s="29"/>
      <c r="E1121" s="29"/>
      <c r="H1121" s="27"/>
      <c r="K1121"/>
      <c r="P1121" s="27"/>
      <c r="Q1121" s="27"/>
      <c r="R1121" s="27"/>
    </row>
    <row r="1122" spans="1:18">
      <c r="A1122" s="28"/>
      <c r="B1122" s="29"/>
      <c r="C1122" s="29"/>
      <c r="D1122" s="29"/>
      <c r="E1122" s="29"/>
      <c r="H1122" s="27"/>
      <c r="K1122"/>
      <c r="P1122" s="27"/>
      <c r="Q1122" s="27"/>
      <c r="R1122" s="27"/>
    </row>
    <row r="1123" spans="1:18">
      <c r="A1123" s="28"/>
      <c r="B1123" s="29"/>
      <c r="C1123" s="29"/>
      <c r="D1123" s="29"/>
      <c r="E1123" s="29"/>
      <c r="H1123" s="27"/>
      <c r="K1123"/>
      <c r="P1123" s="27"/>
      <c r="Q1123" s="27"/>
      <c r="R1123" s="27"/>
    </row>
    <row r="1124" spans="1:18">
      <c r="A1124" s="28"/>
      <c r="B1124" s="29"/>
      <c r="C1124" s="29"/>
      <c r="D1124" s="29"/>
      <c r="E1124" s="29"/>
      <c r="H1124" s="27"/>
      <c r="K1124"/>
      <c r="P1124" s="27"/>
      <c r="Q1124" s="27"/>
      <c r="R1124" s="27"/>
    </row>
    <row r="1125" spans="1:18">
      <c r="A1125" s="28"/>
      <c r="B1125" s="29"/>
      <c r="C1125" s="29"/>
      <c r="D1125" s="29"/>
      <c r="E1125" s="29"/>
      <c r="H1125" s="27"/>
      <c r="K1125"/>
      <c r="P1125" s="27"/>
      <c r="Q1125" s="27"/>
      <c r="R1125" s="27"/>
    </row>
    <row r="1126" spans="1:18">
      <c r="A1126" s="28"/>
      <c r="B1126" s="29"/>
      <c r="C1126" s="29"/>
      <c r="D1126" s="29"/>
      <c r="E1126" s="29"/>
      <c r="H1126" s="27"/>
      <c r="K1126"/>
      <c r="P1126" s="27"/>
      <c r="Q1126" s="27"/>
      <c r="R1126" s="27"/>
    </row>
    <row r="1127" spans="1:18">
      <c r="A1127" s="28"/>
      <c r="B1127" s="29"/>
      <c r="C1127" s="29"/>
      <c r="D1127" s="29"/>
      <c r="E1127" s="29"/>
      <c r="H1127" s="27"/>
      <c r="K1127"/>
      <c r="P1127" s="27"/>
      <c r="Q1127" s="27"/>
      <c r="R1127" s="27"/>
    </row>
    <row r="1128" spans="1:18">
      <c r="A1128" s="28"/>
      <c r="B1128" s="29"/>
      <c r="C1128" s="29"/>
      <c r="D1128" s="29"/>
      <c r="E1128" s="29"/>
      <c r="H1128" s="27"/>
      <c r="K1128"/>
      <c r="P1128" s="27"/>
      <c r="Q1128" s="27"/>
      <c r="R1128" s="27"/>
    </row>
    <row r="1129" spans="1:18">
      <c r="A1129" s="28"/>
      <c r="B1129" s="29"/>
      <c r="C1129" s="29"/>
      <c r="D1129" s="29"/>
      <c r="E1129" s="29"/>
      <c r="H1129" s="27"/>
      <c r="K1129"/>
      <c r="P1129" s="27"/>
      <c r="Q1129" s="27"/>
      <c r="R1129" s="27"/>
    </row>
    <row r="1130" spans="1:18">
      <c r="A1130" s="28"/>
      <c r="B1130" s="29"/>
      <c r="C1130" s="29"/>
      <c r="D1130" s="29"/>
      <c r="E1130" s="29"/>
      <c r="H1130" s="27"/>
      <c r="K1130"/>
      <c r="P1130" s="27"/>
      <c r="Q1130" s="27"/>
      <c r="R1130" s="27"/>
    </row>
    <row r="1131" spans="1:18">
      <c r="A1131" s="28"/>
      <c r="B1131" s="29"/>
      <c r="C1131" s="29"/>
      <c r="D1131" s="29"/>
      <c r="E1131" s="29"/>
      <c r="H1131" s="27"/>
      <c r="K1131"/>
      <c r="P1131" s="27"/>
      <c r="Q1131" s="27"/>
      <c r="R1131" s="27"/>
    </row>
    <row r="1132" spans="1:18">
      <c r="A1132" s="28"/>
      <c r="B1132" s="29"/>
      <c r="C1132" s="29"/>
      <c r="D1132" s="29"/>
      <c r="E1132" s="29"/>
      <c r="H1132" s="27"/>
      <c r="K1132"/>
      <c r="P1132" s="27"/>
      <c r="Q1132" s="27"/>
      <c r="R1132" s="27"/>
    </row>
    <row r="1133" spans="1:18">
      <c r="A1133" s="28"/>
      <c r="B1133" s="29"/>
      <c r="C1133" s="29"/>
      <c r="D1133" s="29"/>
      <c r="E1133" s="29"/>
      <c r="H1133" s="27"/>
      <c r="K1133"/>
      <c r="P1133" s="27"/>
      <c r="Q1133" s="27"/>
      <c r="R1133" s="27"/>
    </row>
    <row r="1134" spans="1:18">
      <c r="A1134" s="28"/>
      <c r="B1134" s="29"/>
      <c r="C1134" s="29"/>
      <c r="D1134" s="29"/>
      <c r="E1134" s="29"/>
      <c r="H1134" s="27"/>
      <c r="K1134"/>
      <c r="P1134" s="27"/>
      <c r="Q1134" s="27"/>
      <c r="R1134" s="27"/>
    </row>
    <row r="1135" spans="1:18">
      <c r="A1135" s="28"/>
      <c r="B1135" s="29"/>
      <c r="C1135" s="29"/>
      <c r="D1135" s="29"/>
      <c r="E1135" s="29"/>
      <c r="H1135" s="27"/>
      <c r="K1135"/>
      <c r="P1135" s="27"/>
      <c r="Q1135" s="27"/>
      <c r="R1135" s="27"/>
    </row>
    <row r="1136" spans="1:18">
      <c r="A1136" s="28"/>
      <c r="B1136" s="29"/>
      <c r="C1136" s="29"/>
      <c r="D1136" s="29"/>
      <c r="E1136" s="29"/>
      <c r="H1136" s="27"/>
      <c r="K1136"/>
      <c r="P1136" s="27"/>
      <c r="Q1136" s="27"/>
      <c r="R1136" s="27"/>
    </row>
    <row r="1137" spans="1:18">
      <c r="A1137" s="28"/>
      <c r="B1137" s="29"/>
      <c r="C1137" s="29"/>
      <c r="D1137" s="29"/>
      <c r="E1137" s="29"/>
      <c r="H1137" s="27"/>
      <c r="K1137"/>
      <c r="P1137" s="27"/>
      <c r="Q1137" s="27"/>
      <c r="R1137" s="27"/>
    </row>
    <row r="1138" spans="1:18">
      <c r="A1138" s="28"/>
      <c r="B1138" s="29"/>
      <c r="C1138" s="29"/>
      <c r="D1138" s="29"/>
      <c r="E1138" s="29"/>
      <c r="H1138" s="27"/>
      <c r="K1138"/>
      <c r="P1138" s="27"/>
      <c r="Q1138" s="27"/>
      <c r="R1138" s="27"/>
    </row>
    <row r="1139" spans="1:18">
      <c r="A1139" s="28"/>
      <c r="B1139" s="29"/>
      <c r="C1139" s="29"/>
      <c r="D1139" s="29"/>
      <c r="E1139" s="29"/>
      <c r="H1139" s="27"/>
      <c r="K1139"/>
      <c r="P1139" s="27"/>
      <c r="Q1139" s="27"/>
      <c r="R1139" s="27"/>
    </row>
    <row r="1140" spans="1:18">
      <c r="A1140" s="28"/>
      <c r="B1140" s="29"/>
      <c r="C1140" s="29"/>
      <c r="D1140" s="29"/>
      <c r="E1140" s="29"/>
      <c r="H1140" s="27"/>
      <c r="K1140"/>
      <c r="P1140" s="27"/>
      <c r="Q1140" s="27"/>
      <c r="R1140" s="27"/>
    </row>
    <row r="1141" spans="1:18">
      <c r="A1141" s="28"/>
      <c r="B1141" s="29"/>
      <c r="C1141" s="29"/>
      <c r="D1141" s="29"/>
      <c r="E1141" s="29"/>
      <c r="H1141" s="27"/>
      <c r="K1141"/>
      <c r="P1141" s="27"/>
      <c r="Q1141" s="27"/>
      <c r="R1141" s="27"/>
    </row>
    <row r="1142" spans="1:18">
      <c r="A1142" s="28"/>
      <c r="B1142" s="29"/>
      <c r="C1142" s="29"/>
      <c r="D1142" s="29"/>
      <c r="E1142" s="29"/>
      <c r="H1142" s="27"/>
      <c r="K1142"/>
      <c r="P1142" s="27"/>
      <c r="Q1142" s="27"/>
      <c r="R1142" s="27"/>
    </row>
    <row r="1143" spans="1:18">
      <c r="A1143" s="28"/>
      <c r="B1143" s="29"/>
      <c r="C1143" s="29"/>
      <c r="D1143" s="29"/>
      <c r="E1143" s="29"/>
      <c r="H1143" s="27"/>
      <c r="K1143"/>
      <c r="P1143" s="27"/>
      <c r="Q1143" s="27"/>
      <c r="R1143" s="27"/>
    </row>
    <row r="1144" spans="1:18">
      <c r="A1144" s="28"/>
      <c r="B1144" s="29"/>
      <c r="C1144" s="29"/>
      <c r="D1144" s="29"/>
      <c r="E1144" s="29"/>
      <c r="H1144" s="27"/>
      <c r="K1144"/>
      <c r="P1144" s="27"/>
      <c r="Q1144" s="27"/>
      <c r="R1144" s="27"/>
    </row>
    <row r="1145" spans="1:18">
      <c r="A1145" s="28"/>
      <c r="B1145" s="29"/>
      <c r="C1145" s="29"/>
      <c r="D1145" s="29"/>
      <c r="E1145" s="29"/>
      <c r="H1145" s="27"/>
      <c r="K1145"/>
      <c r="P1145" s="27"/>
      <c r="Q1145" s="27"/>
      <c r="R1145" s="27"/>
    </row>
    <row r="1146" spans="1:18">
      <c r="A1146" s="28"/>
      <c r="B1146" s="29"/>
      <c r="C1146" s="29"/>
      <c r="D1146" s="29"/>
      <c r="E1146" s="29"/>
      <c r="H1146" s="27"/>
      <c r="K1146"/>
      <c r="P1146" s="27"/>
      <c r="Q1146" s="27"/>
      <c r="R1146" s="27"/>
    </row>
    <row r="1147" spans="1:18">
      <c r="A1147" s="28"/>
      <c r="B1147" s="29"/>
      <c r="C1147" s="29"/>
      <c r="D1147" s="29"/>
      <c r="E1147" s="29"/>
      <c r="H1147" s="27"/>
      <c r="K1147"/>
      <c r="P1147" s="27"/>
      <c r="Q1147" s="27"/>
      <c r="R1147" s="27"/>
    </row>
    <row r="1148" spans="1:18">
      <c r="A1148" s="28"/>
      <c r="B1148" s="29"/>
      <c r="C1148" s="29"/>
      <c r="D1148" s="29"/>
      <c r="E1148" s="29"/>
      <c r="H1148" s="27"/>
      <c r="K1148"/>
      <c r="P1148" s="27"/>
      <c r="Q1148" s="27"/>
      <c r="R1148" s="27"/>
    </row>
    <row r="1149" spans="1:18">
      <c r="A1149" s="28"/>
      <c r="B1149" s="29"/>
      <c r="C1149" s="29"/>
      <c r="D1149" s="29"/>
      <c r="E1149" s="29"/>
      <c r="H1149" s="27"/>
      <c r="K1149"/>
      <c r="P1149" s="27"/>
      <c r="Q1149" s="27"/>
      <c r="R1149" s="27"/>
    </row>
    <row r="1150" spans="1:18">
      <c r="A1150" s="28"/>
      <c r="B1150" s="29"/>
      <c r="C1150" s="29"/>
      <c r="D1150" s="29"/>
      <c r="E1150" s="29"/>
      <c r="H1150" s="27"/>
      <c r="K1150"/>
      <c r="P1150" s="27"/>
      <c r="Q1150" s="27"/>
      <c r="R1150" s="27"/>
    </row>
    <row r="1151" spans="1:18">
      <c r="A1151" s="28"/>
      <c r="B1151" s="29"/>
      <c r="C1151" s="29"/>
      <c r="D1151" s="29"/>
      <c r="E1151" s="29"/>
      <c r="H1151" s="27"/>
      <c r="K1151"/>
      <c r="P1151" s="27"/>
      <c r="Q1151" s="27"/>
      <c r="R1151" s="27"/>
    </row>
    <row r="1152" spans="1:18">
      <c r="A1152" s="28"/>
      <c r="B1152" s="29"/>
      <c r="C1152" s="29"/>
      <c r="D1152" s="29"/>
      <c r="E1152" s="29"/>
      <c r="H1152" s="27"/>
      <c r="K1152"/>
      <c r="P1152" s="27"/>
      <c r="Q1152" s="27"/>
      <c r="R1152" s="27"/>
    </row>
    <row r="1153" spans="1:18">
      <c r="A1153" s="28"/>
      <c r="B1153" s="29"/>
      <c r="C1153" s="29"/>
      <c r="D1153" s="29"/>
      <c r="E1153" s="29"/>
      <c r="H1153" s="27"/>
      <c r="K1153"/>
      <c r="P1153" s="27"/>
      <c r="Q1153" s="27"/>
      <c r="R1153" s="27"/>
    </row>
    <row r="1154" spans="1:18">
      <c r="A1154" s="28"/>
      <c r="B1154" s="29"/>
      <c r="C1154" s="29"/>
      <c r="D1154" s="29"/>
      <c r="E1154" s="29"/>
      <c r="H1154" s="27"/>
      <c r="K1154"/>
      <c r="P1154" s="27"/>
      <c r="Q1154" s="27"/>
      <c r="R1154" s="27"/>
    </row>
    <row r="1155" spans="1:18">
      <c r="A1155" s="28"/>
      <c r="B1155" s="29"/>
      <c r="C1155" s="29"/>
      <c r="D1155" s="29"/>
      <c r="E1155" s="29"/>
      <c r="H1155" s="27"/>
      <c r="K1155"/>
      <c r="P1155" s="27"/>
      <c r="Q1155" s="27"/>
      <c r="R1155" s="27"/>
    </row>
    <row r="1156" spans="1:18">
      <c r="A1156" s="28"/>
      <c r="B1156" s="29"/>
      <c r="C1156" s="29"/>
      <c r="D1156" s="29"/>
      <c r="E1156" s="29"/>
      <c r="H1156" s="27"/>
      <c r="K1156"/>
      <c r="P1156" s="27"/>
      <c r="Q1156" s="27"/>
      <c r="R1156" s="27"/>
    </row>
    <row r="1157" spans="1:18">
      <c r="A1157" s="28"/>
      <c r="B1157" s="29"/>
      <c r="C1157" s="29"/>
      <c r="D1157" s="29"/>
      <c r="E1157" s="29"/>
      <c r="H1157" s="27"/>
      <c r="K1157"/>
      <c r="P1157" s="27"/>
      <c r="Q1157" s="27"/>
      <c r="R1157" s="27"/>
    </row>
    <row r="1158" spans="1:18">
      <c r="A1158" s="28"/>
      <c r="B1158" s="29"/>
      <c r="C1158" s="29"/>
      <c r="D1158" s="29"/>
      <c r="E1158" s="29"/>
      <c r="H1158" s="27"/>
      <c r="K1158"/>
      <c r="P1158" s="27"/>
      <c r="Q1158" s="27"/>
      <c r="R1158" s="27"/>
    </row>
    <row r="1159" spans="1:18">
      <c r="A1159" s="28"/>
      <c r="B1159" s="29"/>
      <c r="C1159" s="29"/>
      <c r="D1159" s="29"/>
      <c r="E1159" s="29"/>
      <c r="H1159" s="27"/>
      <c r="K1159"/>
      <c r="P1159" s="27"/>
      <c r="Q1159" s="27"/>
      <c r="R1159" s="27"/>
    </row>
    <row r="1160" spans="1:18">
      <c r="A1160" s="28"/>
      <c r="B1160" s="29"/>
      <c r="C1160" s="29"/>
      <c r="D1160" s="29"/>
      <c r="E1160" s="29"/>
      <c r="H1160" s="27"/>
      <c r="K1160"/>
      <c r="P1160" s="27"/>
      <c r="Q1160" s="27"/>
      <c r="R1160" s="27"/>
    </row>
    <row r="1161" spans="1:18">
      <c r="A1161" s="28"/>
      <c r="B1161" s="29"/>
      <c r="C1161" s="29"/>
      <c r="D1161" s="29"/>
      <c r="E1161" s="29"/>
      <c r="H1161" s="27"/>
      <c r="K1161"/>
      <c r="P1161" s="27"/>
      <c r="Q1161" s="27"/>
      <c r="R1161" s="27"/>
    </row>
    <row r="1162" spans="1:18">
      <c r="A1162" s="28"/>
      <c r="B1162" s="29"/>
      <c r="C1162" s="29"/>
      <c r="D1162" s="29"/>
      <c r="E1162" s="29"/>
      <c r="H1162" s="27"/>
      <c r="K1162"/>
      <c r="P1162" s="27"/>
      <c r="Q1162" s="27"/>
      <c r="R1162" s="27"/>
    </row>
    <row r="1163" spans="1:18">
      <c r="A1163" s="28"/>
      <c r="B1163" s="29"/>
      <c r="C1163" s="29"/>
      <c r="D1163" s="29"/>
      <c r="E1163" s="29"/>
      <c r="H1163" s="27"/>
      <c r="K1163"/>
      <c r="P1163" s="27"/>
      <c r="Q1163" s="27"/>
      <c r="R1163" s="27"/>
    </row>
    <row r="1164" spans="1:18">
      <c r="A1164" s="28"/>
      <c r="B1164" s="29"/>
      <c r="C1164" s="29"/>
      <c r="D1164" s="29"/>
      <c r="E1164" s="29"/>
      <c r="H1164" s="27"/>
      <c r="K1164"/>
      <c r="P1164" s="27"/>
      <c r="Q1164" s="27"/>
      <c r="R1164" s="27"/>
    </row>
    <row r="1165" spans="1:18">
      <c r="A1165" s="28"/>
      <c r="B1165" s="29"/>
      <c r="C1165" s="29"/>
      <c r="D1165" s="29"/>
      <c r="E1165" s="29"/>
      <c r="H1165" s="27"/>
      <c r="K1165"/>
      <c r="P1165" s="27"/>
      <c r="Q1165" s="27"/>
      <c r="R1165" s="27"/>
    </row>
    <row r="1166" spans="1:18">
      <c r="A1166" s="28"/>
      <c r="B1166" s="29"/>
      <c r="C1166" s="29"/>
      <c r="D1166" s="29"/>
      <c r="E1166" s="29"/>
      <c r="H1166" s="27"/>
      <c r="K1166"/>
      <c r="P1166" s="27"/>
      <c r="Q1166" s="27"/>
      <c r="R1166" s="27"/>
    </row>
    <row r="1167" spans="1:18">
      <c r="A1167" s="28"/>
      <c r="B1167" s="29"/>
      <c r="C1167" s="29"/>
      <c r="D1167" s="29"/>
      <c r="E1167" s="29"/>
      <c r="H1167" s="27"/>
      <c r="K1167"/>
      <c r="P1167" s="27"/>
      <c r="Q1167" s="27"/>
      <c r="R1167" s="27"/>
    </row>
    <row r="1168" spans="1:18">
      <c r="A1168" s="28"/>
      <c r="B1168" s="29"/>
      <c r="C1168" s="29"/>
      <c r="D1168" s="29"/>
      <c r="E1168" s="29"/>
      <c r="H1168" s="27"/>
      <c r="K1168"/>
      <c r="P1168" s="27"/>
      <c r="Q1168" s="27"/>
      <c r="R1168" s="27"/>
    </row>
    <row r="1169" spans="1:18">
      <c r="A1169" s="28"/>
      <c r="B1169" s="29"/>
      <c r="C1169" s="29"/>
      <c r="D1169" s="29"/>
      <c r="E1169" s="29"/>
      <c r="H1169" s="27"/>
      <c r="K1169"/>
      <c r="P1169" s="27"/>
      <c r="Q1169" s="27"/>
      <c r="R1169" s="27"/>
    </row>
    <row r="1170" spans="1:18">
      <c r="A1170" s="28"/>
      <c r="B1170" s="29"/>
      <c r="C1170" s="29"/>
      <c r="D1170" s="29"/>
      <c r="E1170" s="29"/>
      <c r="H1170" s="27"/>
      <c r="K1170"/>
      <c r="P1170" s="27"/>
      <c r="Q1170" s="27"/>
      <c r="R1170" s="27"/>
    </row>
    <row r="1171" spans="1:18">
      <c r="A1171" s="28"/>
      <c r="B1171" s="29"/>
      <c r="C1171" s="29"/>
      <c r="D1171" s="29"/>
      <c r="E1171" s="29"/>
      <c r="H1171" s="27"/>
      <c r="K1171"/>
      <c r="P1171" s="27"/>
      <c r="Q1171" s="27"/>
      <c r="R1171" s="27"/>
    </row>
    <row r="1172" spans="1:18">
      <c r="A1172" s="28"/>
      <c r="B1172" s="29"/>
      <c r="C1172" s="29"/>
      <c r="D1172" s="29"/>
      <c r="E1172" s="29"/>
      <c r="H1172" s="27"/>
      <c r="K1172"/>
      <c r="P1172" s="27"/>
      <c r="Q1172" s="27"/>
      <c r="R1172" s="27"/>
    </row>
    <row r="1173" spans="1:18">
      <c r="A1173" s="28"/>
      <c r="B1173" s="29"/>
      <c r="C1173" s="29"/>
      <c r="D1173" s="29"/>
      <c r="E1173" s="29"/>
      <c r="H1173" s="27"/>
      <c r="K1173"/>
      <c r="P1173" s="27"/>
      <c r="Q1173" s="27"/>
      <c r="R1173" s="27"/>
    </row>
    <row r="1174" spans="1:18">
      <c r="A1174" s="28"/>
      <c r="B1174" s="29"/>
      <c r="C1174" s="29"/>
      <c r="D1174" s="29"/>
      <c r="E1174" s="29"/>
      <c r="H1174" s="27"/>
      <c r="K1174"/>
      <c r="P1174" s="27"/>
      <c r="Q1174" s="27"/>
      <c r="R1174" s="27"/>
    </row>
    <row r="1175" spans="1:18">
      <c r="A1175" s="28"/>
      <c r="B1175" s="29"/>
      <c r="C1175" s="29"/>
      <c r="D1175" s="29"/>
      <c r="E1175" s="29"/>
      <c r="H1175" s="27"/>
      <c r="K1175"/>
      <c r="P1175" s="27"/>
      <c r="Q1175" s="27"/>
      <c r="R1175" s="27"/>
    </row>
    <row r="1176" spans="1:18">
      <c r="A1176" s="28"/>
      <c r="B1176" s="29"/>
      <c r="C1176" s="29"/>
      <c r="D1176" s="29"/>
      <c r="E1176" s="29"/>
      <c r="H1176" s="27"/>
      <c r="K1176"/>
      <c r="P1176" s="27"/>
      <c r="Q1176" s="27"/>
      <c r="R1176" s="27"/>
    </row>
    <row r="1177" spans="1:18">
      <c r="A1177" s="28"/>
      <c r="B1177" s="29"/>
      <c r="C1177" s="29"/>
      <c r="D1177" s="29"/>
      <c r="E1177" s="29"/>
      <c r="H1177" s="27"/>
      <c r="K1177"/>
      <c r="P1177" s="27"/>
      <c r="Q1177" s="27"/>
      <c r="R1177" s="27"/>
    </row>
    <row r="1178" spans="1:18">
      <c r="A1178" s="28"/>
      <c r="B1178" s="29"/>
      <c r="C1178" s="29"/>
      <c r="D1178" s="29"/>
      <c r="E1178" s="29"/>
      <c r="H1178" s="27"/>
      <c r="K1178"/>
      <c r="P1178" s="27"/>
      <c r="Q1178" s="27"/>
      <c r="R1178" s="27"/>
    </row>
    <row r="1179" spans="1:18">
      <c r="A1179" s="28"/>
      <c r="B1179" s="29"/>
      <c r="C1179" s="29"/>
      <c r="D1179" s="29"/>
      <c r="E1179" s="29"/>
      <c r="H1179" s="27"/>
      <c r="K1179"/>
      <c r="P1179" s="27"/>
      <c r="Q1179" s="27"/>
      <c r="R1179" s="27"/>
    </row>
    <row r="1180" spans="1:18">
      <c r="A1180" s="28"/>
      <c r="B1180" s="29"/>
      <c r="C1180" s="29"/>
      <c r="D1180" s="29"/>
      <c r="E1180" s="29"/>
      <c r="H1180" s="27"/>
      <c r="K1180"/>
      <c r="P1180" s="27"/>
      <c r="Q1180" s="27"/>
      <c r="R1180" s="27"/>
    </row>
    <row r="1181" spans="1:18">
      <c r="A1181" s="28"/>
      <c r="B1181" s="29"/>
      <c r="C1181" s="29"/>
      <c r="D1181" s="29"/>
      <c r="E1181" s="29"/>
      <c r="H1181" s="27"/>
      <c r="K1181"/>
      <c r="P1181" s="27"/>
      <c r="Q1181" s="27"/>
      <c r="R1181" s="27"/>
    </row>
    <row r="1182" spans="1:18">
      <c r="A1182" s="28"/>
      <c r="B1182" s="29"/>
      <c r="C1182" s="29"/>
      <c r="D1182" s="29"/>
      <c r="E1182" s="29"/>
      <c r="H1182" s="27"/>
      <c r="K1182"/>
      <c r="P1182" s="27"/>
      <c r="Q1182" s="27"/>
      <c r="R1182" s="27"/>
    </row>
    <row r="1183" spans="1:18">
      <c r="A1183" s="28"/>
      <c r="B1183" s="29"/>
      <c r="C1183" s="29"/>
      <c r="D1183" s="29"/>
      <c r="E1183" s="29"/>
      <c r="H1183" s="27"/>
      <c r="K1183"/>
      <c r="P1183" s="27"/>
      <c r="Q1183" s="27"/>
      <c r="R1183" s="27"/>
    </row>
    <row r="1184" spans="1:18">
      <c r="A1184" s="28"/>
      <c r="B1184" s="29"/>
      <c r="C1184" s="29"/>
      <c r="D1184" s="29"/>
      <c r="E1184" s="29"/>
      <c r="H1184" s="27"/>
      <c r="K1184"/>
      <c r="P1184" s="27"/>
      <c r="Q1184" s="27"/>
      <c r="R1184" s="27"/>
    </row>
    <row r="1185" spans="1:18">
      <c r="A1185" s="28"/>
      <c r="B1185" s="29"/>
      <c r="C1185" s="29"/>
      <c r="D1185" s="29"/>
      <c r="E1185" s="29"/>
      <c r="H1185" s="27"/>
      <c r="K1185"/>
      <c r="P1185" s="27"/>
      <c r="Q1185" s="27"/>
      <c r="R1185" s="27"/>
    </row>
    <row r="1186" spans="1:18">
      <c r="A1186" s="28"/>
      <c r="B1186" s="29"/>
      <c r="C1186" s="29"/>
      <c r="D1186" s="29"/>
      <c r="E1186" s="29"/>
      <c r="H1186" s="27"/>
      <c r="K1186"/>
      <c r="P1186" s="27"/>
      <c r="Q1186" s="27"/>
      <c r="R1186" s="27"/>
    </row>
    <row r="1187" spans="1:18">
      <c r="A1187" s="28"/>
      <c r="B1187" s="29"/>
      <c r="C1187" s="29"/>
      <c r="D1187" s="29"/>
      <c r="E1187" s="29"/>
      <c r="H1187" s="27"/>
      <c r="K1187"/>
      <c r="P1187" s="27"/>
      <c r="Q1187" s="27"/>
      <c r="R1187" s="27"/>
    </row>
    <row r="1188" spans="1:18">
      <c r="A1188" s="28"/>
      <c r="B1188" s="29"/>
      <c r="C1188" s="29"/>
      <c r="D1188" s="29"/>
      <c r="E1188" s="29"/>
      <c r="H1188" s="27"/>
      <c r="K1188"/>
      <c r="P1188" s="27"/>
      <c r="Q1188" s="27"/>
      <c r="R1188" s="27"/>
    </row>
    <row r="1189" spans="1:18">
      <c r="A1189" s="28"/>
      <c r="B1189" s="29"/>
      <c r="C1189" s="29"/>
      <c r="D1189" s="29"/>
      <c r="E1189" s="29"/>
      <c r="H1189" s="27"/>
      <c r="K1189"/>
      <c r="P1189" s="27"/>
      <c r="Q1189" s="27"/>
      <c r="R1189" s="27"/>
    </row>
    <row r="1190" spans="1:18">
      <c r="A1190" s="28"/>
      <c r="B1190" s="29"/>
      <c r="C1190" s="29"/>
      <c r="D1190" s="29"/>
      <c r="E1190" s="29"/>
      <c r="H1190" s="27"/>
      <c r="K1190"/>
      <c r="P1190" s="27"/>
      <c r="Q1190" s="27"/>
      <c r="R1190" s="27"/>
    </row>
    <row r="1191" spans="1:18">
      <c r="A1191" s="28"/>
      <c r="B1191" s="29"/>
      <c r="C1191" s="29"/>
      <c r="D1191" s="29"/>
      <c r="E1191" s="29"/>
      <c r="H1191" s="27"/>
      <c r="K1191"/>
      <c r="P1191" s="27"/>
      <c r="Q1191" s="27"/>
      <c r="R1191" s="27"/>
    </row>
    <row r="1192" spans="1:18">
      <c r="A1192" s="28"/>
      <c r="B1192" s="29"/>
      <c r="C1192" s="29"/>
      <c r="D1192" s="29"/>
      <c r="E1192" s="29"/>
      <c r="H1192" s="27"/>
      <c r="K1192"/>
      <c r="P1192" s="27"/>
      <c r="Q1192" s="27"/>
      <c r="R1192" s="27"/>
    </row>
    <row r="1193" spans="1:18">
      <c r="A1193" s="28"/>
      <c r="B1193" s="29"/>
      <c r="C1193" s="29"/>
      <c r="D1193" s="29"/>
      <c r="E1193" s="29"/>
      <c r="H1193" s="27"/>
      <c r="K1193"/>
      <c r="P1193" s="27"/>
      <c r="Q1193" s="27"/>
      <c r="R1193" s="27"/>
    </row>
    <row r="1194" spans="1:18">
      <c r="A1194" s="28"/>
      <c r="B1194" s="29"/>
      <c r="C1194" s="29"/>
      <c r="D1194" s="29"/>
      <c r="E1194" s="29"/>
      <c r="H1194" s="27"/>
      <c r="K1194"/>
      <c r="P1194" s="27"/>
      <c r="Q1194" s="27"/>
      <c r="R1194" s="27"/>
    </row>
    <row r="1195" spans="1:18">
      <c r="A1195" s="28"/>
      <c r="B1195" s="29"/>
      <c r="C1195" s="29"/>
      <c r="D1195" s="29"/>
      <c r="E1195" s="29"/>
      <c r="H1195" s="27"/>
      <c r="K1195"/>
      <c r="P1195" s="27"/>
      <c r="Q1195" s="27"/>
      <c r="R1195" s="27"/>
    </row>
    <row r="1196" spans="1:18">
      <c r="A1196" s="28"/>
      <c r="B1196" s="29"/>
      <c r="C1196" s="29"/>
      <c r="D1196" s="29"/>
      <c r="E1196" s="29"/>
      <c r="H1196" s="27"/>
      <c r="K1196"/>
      <c r="P1196" s="27"/>
      <c r="Q1196" s="27"/>
      <c r="R1196" s="27"/>
    </row>
    <row r="1197" spans="1:18">
      <c r="A1197" s="28"/>
      <c r="B1197" s="29"/>
      <c r="C1197" s="29"/>
      <c r="D1197" s="29"/>
      <c r="E1197" s="29"/>
      <c r="H1197" s="27"/>
      <c r="K1197"/>
      <c r="P1197" s="27"/>
      <c r="Q1197" s="27"/>
      <c r="R1197" s="27"/>
    </row>
    <row r="1198" spans="1:18">
      <c r="A1198" s="28"/>
      <c r="B1198" s="29"/>
      <c r="C1198" s="29"/>
      <c r="D1198" s="29"/>
      <c r="E1198" s="29"/>
      <c r="H1198" s="27"/>
      <c r="K1198"/>
      <c r="P1198" s="27"/>
      <c r="Q1198" s="27"/>
      <c r="R1198" s="27"/>
    </row>
    <row r="1199" spans="1:18">
      <c r="A1199" s="28"/>
      <c r="B1199" s="29"/>
      <c r="C1199" s="29"/>
      <c r="D1199" s="29"/>
      <c r="E1199" s="29"/>
      <c r="H1199" s="27"/>
      <c r="K1199"/>
      <c r="P1199" s="27"/>
      <c r="Q1199" s="27"/>
      <c r="R1199" s="27"/>
    </row>
    <row r="1200" spans="1:18">
      <c r="A1200" s="28"/>
      <c r="B1200" s="29"/>
      <c r="C1200" s="29"/>
      <c r="D1200" s="29"/>
      <c r="E1200" s="29"/>
      <c r="H1200" s="27"/>
      <c r="K1200"/>
      <c r="P1200" s="27"/>
      <c r="Q1200" s="27"/>
      <c r="R1200" s="27"/>
    </row>
    <row r="1201" spans="1:18">
      <c r="A1201" s="28"/>
      <c r="B1201" s="29"/>
      <c r="C1201" s="29"/>
      <c r="D1201" s="29"/>
      <c r="E1201" s="29"/>
      <c r="H1201" s="27"/>
      <c r="K1201"/>
      <c r="P1201" s="27"/>
      <c r="Q1201" s="27"/>
      <c r="R1201" s="27"/>
    </row>
    <row r="1202" spans="1:18">
      <c r="A1202" s="28"/>
      <c r="B1202" s="29"/>
      <c r="C1202" s="29"/>
      <c r="D1202" s="29"/>
      <c r="E1202" s="29"/>
      <c r="H1202" s="27"/>
      <c r="K1202"/>
      <c r="P1202" s="27"/>
      <c r="Q1202" s="27"/>
      <c r="R1202" s="27"/>
    </row>
    <row r="1203" spans="1:18">
      <c r="A1203" s="28"/>
      <c r="B1203" s="29"/>
      <c r="C1203" s="29"/>
      <c r="D1203" s="29"/>
      <c r="E1203" s="29"/>
      <c r="H1203" s="27"/>
      <c r="K1203"/>
      <c r="P1203" s="27"/>
      <c r="Q1203" s="27"/>
      <c r="R1203" s="27"/>
    </row>
    <row r="1204" spans="1:18">
      <c r="A1204" s="28"/>
      <c r="B1204" s="29"/>
      <c r="C1204" s="29"/>
      <c r="D1204" s="29"/>
      <c r="E1204" s="29"/>
      <c r="H1204" s="27"/>
      <c r="K1204"/>
      <c r="P1204" s="27"/>
      <c r="Q1204" s="27"/>
      <c r="R1204" s="27"/>
    </row>
    <row r="1205" spans="1:18">
      <c r="A1205" s="28"/>
      <c r="B1205" s="29"/>
      <c r="C1205" s="29"/>
      <c r="D1205" s="29"/>
      <c r="E1205" s="29"/>
      <c r="H1205" s="27"/>
      <c r="K1205"/>
      <c r="P1205" s="27"/>
      <c r="Q1205" s="27"/>
      <c r="R1205" s="27"/>
    </row>
    <row r="1206" spans="1:18">
      <c r="A1206" s="28"/>
      <c r="B1206" s="29"/>
      <c r="C1206" s="29"/>
      <c r="D1206" s="29"/>
      <c r="E1206" s="29"/>
      <c r="H1206" s="27"/>
      <c r="K1206"/>
      <c r="P1206" s="27"/>
      <c r="Q1206" s="27"/>
      <c r="R1206" s="27"/>
    </row>
    <row r="1207" spans="1:18">
      <c r="A1207" s="28"/>
      <c r="B1207" s="29"/>
      <c r="C1207" s="29"/>
      <c r="D1207" s="29"/>
      <c r="E1207" s="29"/>
      <c r="H1207" s="27"/>
      <c r="K1207"/>
      <c r="P1207" s="27"/>
      <c r="Q1207" s="27"/>
      <c r="R1207" s="27"/>
    </row>
    <row r="1208" spans="1:18">
      <c r="A1208" s="28"/>
      <c r="B1208" s="29"/>
      <c r="C1208" s="29"/>
      <c r="D1208" s="29"/>
      <c r="E1208" s="29"/>
      <c r="H1208" s="27"/>
      <c r="K1208"/>
      <c r="P1208" s="27"/>
      <c r="Q1208" s="27"/>
      <c r="R1208" s="27"/>
    </row>
    <row r="1209" spans="1:18">
      <c r="A1209" s="28"/>
      <c r="B1209" s="29"/>
      <c r="C1209" s="29"/>
      <c r="D1209" s="29"/>
      <c r="E1209" s="29"/>
      <c r="H1209" s="27"/>
      <c r="K1209"/>
      <c r="P1209" s="27"/>
      <c r="Q1209" s="27"/>
      <c r="R1209" s="27"/>
    </row>
    <row r="1210" spans="1:18">
      <c r="A1210" s="28"/>
      <c r="B1210" s="29"/>
      <c r="C1210" s="29"/>
      <c r="D1210" s="29"/>
      <c r="E1210" s="29"/>
      <c r="H1210" s="27"/>
      <c r="K1210"/>
      <c r="P1210" s="27"/>
      <c r="Q1210" s="27"/>
      <c r="R1210" s="27"/>
    </row>
    <row r="1211" spans="1:18">
      <c r="A1211" s="28"/>
      <c r="B1211" s="29"/>
      <c r="C1211" s="29"/>
      <c r="D1211" s="29"/>
      <c r="E1211" s="29"/>
      <c r="H1211" s="27"/>
      <c r="K1211"/>
      <c r="P1211" s="27"/>
      <c r="Q1211" s="27"/>
      <c r="R1211" s="27"/>
    </row>
    <row r="1212" spans="1:18">
      <c r="A1212" s="28"/>
      <c r="B1212" s="29"/>
      <c r="C1212" s="29"/>
      <c r="D1212" s="29"/>
      <c r="E1212" s="29"/>
      <c r="H1212" s="27"/>
      <c r="K1212"/>
      <c r="P1212" s="27"/>
      <c r="Q1212" s="27"/>
      <c r="R1212" s="27"/>
    </row>
    <row r="1213" spans="1:18">
      <c r="A1213" s="28"/>
      <c r="B1213" s="29"/>
      <c r="C1213" s="29"/>
      <c r="D1213" s="29"/>
      <c r="E1213" s="29"/>
      <c r="H1213" s="27"/>
      <c r="K1213"/>
      <c r="P1213" s="27"/>
      <c r="Q1213" s="27"/>
      <c r="R1213" s="27"/>
    </row>
    <row r="1214" spans="1:18">
      <c r="A1214" s="28"/>
      <c r="B1214" s="29"/>
      <c r="C1214" s="29"/>
      <c r="D1214" s="29"/>
      <c r="E1214" s="29"/>
      <c r="H1214" s="27"/>
      <c r="K1214"/>
      <c r="P1214" s="27"/>
      <c r="Q1214" s="27"/>
      <c r="R1214" s="27"/>
    </row>
    <row r="1215" spans="1:18">
      <c r="A1215" s="28"/>
      <c r="B1215" s="29"/>
      <c r="C1215" s="29"/>
      <c r="D1215" s="29"/>
      <c r="E1215" s="29"/>
      <c r="H1215" s="27"/>
      <c r="K1215"/>
      <c r="P1215" s="27"/>
      <c r="Q1215" s="27"/>
      <c r="R1215" s="27"/>
    </row>
    <row r="1216" spans="1:18">
      <c r="A1216" s="28"/>
      <c r="B1216" s="29"/>
      <c r="C1216" s="29"/>
      <c r="D1216" s="29"/>
      <c r="E1216" s="29"/>
      <c r="H1216" s="27"/>
      <c r="K1216"/>
      <c r="P1216" s="27"/>
      <c r="Q1216" s="27"/>
      <c r="R1216" s="27"/>
    </row>
    <row r="1217" spans="1:18">
      <c r="A1217" s="28"/>
      <c r="B1217" s="29"/>
      <c r="C1217" s="29"/>
      <c r="D1217" s="29"/>
      <c r="E1217" s="29"/>
      <c r="H1217" s="27"/>
      <c r="K1217"/>
      <c r="P1217" s="27"/>
      <c r="Q1217" s="27"/>
      <c r="R1217" s="27"/>
    </row>
    <row r="1218" spans="1:18">
      <c r="A1218" s="28"/>
      <c r="B1218" s="29"/>
      <c r="C1218" s="29"/>
      <c r="D1218" s="29"/>
      <c r="E1218" s="29"/>
      <c r="H1218" s="27"/>
      <c r="K1218"/>
      <c r="P1218" s="27"/>
      <c r="Q1218" s="27"/>
      <c r="R1218" s="27"/>
    </row>
    <row r="1219" spans="1:18">
      <c r="A1219" s="28"/>
      <c r="B1219" s="29"/>
      <c r="C1219" s="29"/>
      <c r="D1219" s="29"/>
      <c r="E1219" s="29"/>
      <c r="H1219" s="27"/>
      <c r="K1219"/>
      <c r="P1219" s="27"/>
      <c r="Q1219" s="27"/>
      <c r="R1219" s="27"/>
    </row>
    <row r="1220" spans="1:18">
      <c r="A1220" s="28"/>
      <c r="B1220" s="29"/>
      <c r="C1220" s="29"/>
      <c r="D1220" s="29"/>
      <c r="E1220" s="29"/>
      <c r="H1220" s="27"/>
      <c r="K1220"/>
      <c r="P1220" s="27"/>
      <c r="Q1220" s="27"/>
      <c r="R1220" s="27"/>
    </row>
    <row r="1221" spans="1:18">
      <c r="A1221" s="28"/>
      <c r="B1221" s="29"/>
      <c r="C1221" s="29"/>
      <c r="D1221" s="29"/>
      <c r="E1221" s="29"/>
      <c r="H1221" s="27"/>
      <c r="K1221"/>
      <c r="P1221" s="27"/>
      <c r="Q1221" s="27"/>
      <c r="R1221" s="27"/>
    </row>
    <row r="1222" spans="1:18">
      <c r="A1222" s="28"/>
      <c r="B1222" s="29"/>
      <c r="C1222" s="29"/>
      <c r="D1222" s="29"/>
      <c r="E1222" s="29"/>
      <c r="H1222" s="27"/>
      <c r="K1222"/>
      <c r="P1222" s="27"/>
      <c r="Q1222" s="27"/>
      <c r="R1222" s="27"/>
    </row>
    <row r="1223" spans="1:18">
      <c r="A1223" s="28"/>
      <c r="B1223" s="29"/>
      <c r="C1223" s="29"/>
      <c r="D1223" s="29"/>
      <c r="E1223" s="29"/>
      <c r="H1223" s="27"/>
      <c r="K1223"/>
      <c r="P1223" s="27"/>
      <c r="Q1223" s="27"/>
      <c r="R1223" s="27"/>
    </row>
    <row r="1224" spans="1:18">
      <c r="A1224" s="28"/>
      <c r="B1224" s="29"/>
      <c r="C1224" s="29"/>
      <c r="D1224" s="29"/>
      <c r="E1224" s="29"/>
      <c r="H1224" s="27"/>
      <c r="K1224"/>
      <c r="P1224" s="27"/>
      <c r="Q1224" s="27"/>
      <c r="R1224" s="27"/>
    </row>
    <row r="1225" spans="1:18">
      <c r="A1225" s="28"/>
      <c r="B1225" s="29"/>
      <c r="C1225" s="29"/>
      <c r="D1225" s="29"/>
      <c r="E1225" s="29"/>
      <c r="H1225" s="27"/>
      <c r="K1225"/>
      <c r="P1225" s="27"/>
      <c r="Q1225" s="27"/>
      <c r="R1225" s="27"/>
    </row>
    <row r="1226" spans="1:18">
      <c r="A1226" s="28"/>
      <c r="B1226" s="29"/>
      <c r="C1226" s="29"/>
      <c r="D1226" s="29"/>
      <c r="E1226" s="29"/>
      <c r="H1226" s="27"/>
      <c r="K1226"/>
      <c r="P1226" s="27"/>
      <c r="Q1226" s="27"/>
      <c r="R1226" s="27"/>
    </row>
    <row r="1227" spans="1:18">
      <c r="A1227" s="28"/>
      <c r="B1227" s="29"/>
      <c r="C1227" s="29"/>
      <c r="D1227" s="29"/>
      <c r="E1227" s="29"/>
      <c r="H1227" s="27"/>
      <c r="K1227"/>
      <c r="P1227" s="27"/>
      <c r="Q1227" s="27"/>
      <c r="R1227" s="27"/>
    </row>
    <row r="1228" spans="1:18">
      <c r="A1228" s="28"/>
      <c r="B1228" s="29"/>
      <c r="C1228" s="29"/>
      <c r="D1228" s="29"/>
      <c r="E1228" s="29"/>
      <c r="H1228" s="27"/>
      <c r="K1228"/>
      <c r="P1228" s="27"/>
      <c r="Q1228" s="27"/>
      <c r="R1228" s="27"/>
    </row>
    <row r="1229" spans="1:18">
      <c r="A1229" s="28"/>
      <c r="B1229" s="29"/>
      <c r="C1229" s="29"/>
      <c r="D1229" s="29"/>
      <c r="E1229" s="29"/>
      <c r="H1229" s="27"/>
      <c r="K1229"/>
      <c r="P1229" s="27"/>
      <c r="Q1229" s="27"/>
      <c r="R1229" s="27"/>
    </row>
    <row r="1230" spans="1:18">
      <c r="A1230" s="28"/>
      <c r="B1230" s="29"/>
      <c r="C1230" s="29"/>
      <c r="D1230" s="29"/>
      <c r="E1230" s="29"/>
      <c r="H1230" s="27"/>
      <c r="K1230"/>
      <c r="P1230" s="27"/>
      <c r="Q1230" s="27"/>
      <c r="R1230" s="27"/>
    </row>
    <row r="1231" spans="1:18">
      <c r="A1231" s="28"/>
      <c r="B1231" s="29"/>
      <c r="C1231" s="29"/>
      <c r="D1231" s="29"/>
      <c r="E1231" s="29"/>
      <c r="H1231" s="27"/>
      <c r="K1231"/>
      <c r="P1231" s="27"/>
      <c r="Q1231" s="27"/>
      <c r="R1231" s="27"/>
    </row>
    <row r="1232" spans="1:18">
      <c r="A1232" s="28"/>
      <c r="B1232" s="29"/>
      <c r="C1232" s="29"/>
      <c r="D1232" s="29"/>
      <c r="E1232" s="29"/>
      <c r="H1232" s="27"/>
      <c r="K1232"/>
      <c r="P1232" s="27"/>
      <c r="Q1232" s="27"/>
      <c r="R1232" s="27"/>
    </row>
    <row r="1233" spans="1:18">
      <c r="A1233" s="28"/>
      <c r="B1233" s="29"/>
      <c r="C1233" s="29"/>
      <c r="D1233" s="29"/>
      <c r="E1233" s="29"/>
      <c r="H1233" s="27"/>
      <c r="K1233"/>
      <c r="P1233" s="27"/>
      <c r="Q1233" s="27"/>
      <c r="R1233" s="27"/>
    </row>
    <row r="1234" spans="1:18">
      <c r="A1234" s="28"/>
      <c r="B1234" s="29"/>
      <c r="C1234" s="29"/>
      <c r="D1234" s="29"/>
      <c r="E1234" s="29"/>
      <c r="H1234" s="27"/>
      <c r="K1234"/>
      <c r="P1234" s="27"/>
      <c r="Q1234" s="27"/>
      <c r="R1234" s="27"/>
    </row>
    <row r="1235" spans="1:18">
      <c r="A1235" s="28"/>
      <c r="B1235" s="29"/>
      <c r="C1235" s="29"/>
      <c r="D1235" s="29"/>
      <c r="E1235" s="29"/>
      <c r="H1235" s="27"/>
      <c r="K1235"/>
      <c r="P1235" s="27"/>
      <c r="Q1235" s="27"/>
      <c r="R1235" s="27"/>
    </row>
    <row r="1236" spans="1:18">
      <c r="A1236" s="28"/>
      <c r="B1236" s="29"/>
      <c r="C1236" s="29"/>
      <c r="D1236" s="29"/>
      <c r="E1236" s="29"/>
      <c r="H1236" s="27"/>
      <c r="K1236"/>
      <c r="P1236" s="27"/>
      <c r="Q1236" s="27"/>
      <c r="R1236" s="27"/>
    </row>
    <row r="1237" spans="1:18">
      <c r="A1237" s="28"/>
      <c r="B1237" s="29"/>
      <c r="C1237" s="29"/>
      <c r="D1237" s="29"/>
      <c r="E1237" s="29"/>
      <c r="H1237" s="27"/>
      <c r="K1237"/>
      <c r="P1237" s="27"/>
      <c r="Q1237" s="27"/>
      <c r="R1237" s="27"/>
    </row>
    <row r="1238" spans="1:18">
      <c r="A1238" s="28"/>
      <c r="B1238" s="29"/>
      <c r="C1238" s="29"/>
      <c r="D1238" s="29"/>
      <c r="E1238" s="29"/>
      <c r="H1238" s="27"/>
      <c r="K1238"/>
      <c r="P1238" s="27"/>
      <c r="Q1238" s="27"/>
      <c r="R1238" s="27"/>
    </row>
    <row r="1239" spans="1:18">
      <c r="A1239" s="28"/>
      <c r="B1239" s="29"/>
      <c r="C1239" s="29"/>
      <c r="D1239" s="29"/>
      <c r="E1239" s="29"/>
      <c r="H1239" s="27"/>
      <c r="K1239"/>
      <c r="P1239" s="27"/>
      <c r="Q1239" s="27"/>
      <c r="R1239" s="27"/>
    </row>
    <row r="1240" spans="1:18">
      <c r="A1240" s="28"/>
      <c r="B1240" s="29"/>
      <c r="C1240" s="29"/>
      <c r="D1240" s="29"/>
      <c r="E1240" s="29"/>
      <c r="H1240" s="27"/>
      <c r="K1240"/>
      <c r="P1240" s="27"/>
      <c r="Q1240" s="27"/>
      <c r="R1240" s="27"/>
    </row>
    <row r="1241" spans="1:18">
      <c r="A1241" s="28"/>
      <c r="B1241" s="29"/>
      <c r="C1241" s="29"/>
      <c r="D1241" s="29"/>
      <c r="E1241" s="29"/>
      <c r="H1241" s="27"/>
      <c r="K1241"/>
      <c r="P1241" s="27"/>
      <c r="Q1241" s="27"/>
      <c r="R1241" s="27"/>
    </row>
    <row r="1242" spans="1:18">
      <c r="A1242" s="28"/>
      <c r="B1242" s="29"/>
      <c r="C1242" s="29"/>
      <c r="D1242" s="29"/>
      <c r="E1242" s="29"/>
      <c r="H1242" s="27"/>
      <c r="K1242"/>
      <c r="P1242" s="27"/>
      <c r="Q1242" s="27"/>
      <c r="R1242" s="27"/>
    </row>
    <row r="1243" spans="1:18">
      <c r="A1243" s="28"/>
      <c r="B1243" s="29"/>
      <c r="C1243" s="29"/>
      <c r="D1243" s="29"/>
      <c r="E1243" s="29"/>
      <c r="H1243" s="27"/>
      <c r="K1243"/>
      <c r="P1243" s="27"/>
      <c r="Q1243" s="27"/>
      <c r="R1243" s="27"/>
    </row>
    <row r="1244" spans="1:18">
      <c r="A1244" s="28"/>
      <c r="B1244" s="29"/>
      <c r="C1244" s="29"/>
      <c r="D1244" s="29"/>
      <c r="E1244" s="29"/>
      <c r="H1244" s="27"/>
      <c r="K1244"/>
      <c r="P1244" s="27"/>
      <c r="Q1244" s="27"/>
      <c r="R1244" s="27"/>
    </row>
    <row r="1245" spans="1:18">
      <c r="A1245" s="28"/>
      <c r="B1245" s="29"/>
      <c r="C1245" s="29"/>
      <c r="D1245" s="29"/>
      <c r="E1245" s="29"/>
      <c r="H1245" s="27"/>
      <c r="K1245"/>
      <c r="P1245" s="27"/>
      <c r="Q1245" s="27"/>
      <c r="R1245" s="27"/>
    </row>
    <row r="1246" spans="1:18">
      <c r="A1246" s="28"/>
      <c r="B1246" s="29"/>
      <c r="C1246" s="29"/>
      <c r="D1246" s="29"/>
      <c r="E1246" s="29"/>
      <c r="H1246" s="27"/>
      <c r="K1246"/>
      <c r="P1246" s="27"/>
      <c r="Q1246" s="27"/>
      <c r="R1246" s="27"/>
    </row>
    <row r="1247" spans="1:18">
      <c r="A1247" s="28"/>
      <c r="B1247" s="29"/>
      <c r="C1247" s="29"/>
      <c r="D1247" s="29"/>
      <c r="E1247" s="29"/>
      <c r="H1247" s="27"/>
      <c r="K1247"/>
      <c r="P1247" s="27"/>
      <c r="Q1247" s="27"/>
      <c r="R1247" s="27"/>
    </row>
    <row r="1248" spans="1:18">
      <c r="A1248" s="28"/>
      <c r="B1248" s="29"/>
      <c r="C1248" s="29"/>
      <c r="D1248" s="29"/>
      <c r="E1248" s="29"/>
      <c r="H1248" s="27"/>
      <c r="K1248"/>
      <c r="P1248" s="27"/>
      <c r="Q1248" s="27"/>
      <c r="R1248" s="27"/>
    </row>
    <row r="1249" spans="1:18">
      <c r="A1249" s="28"/>
      <c r="B1249" s="29"/>
      <c r="C1249" s="29"/>
      <c r="D1249" s="29"/>
      <c r="E1249" s="29"/>
      <c r="H1249" s="27"/>
      <c r="K1249"/>
      <c r="P1249" s="27"/>
      <c r="Q1249" s="27"/>
      <c r="R1249" s="27"/>
    </row>
    <row r="1250" spans="1:18">
      <c r="A1250" s="28"/>
      <c r="B1250" s="29"/>
      <c r="C1250" s="29"/>
      <c r="D1250" s="29"/>
      <c r="E1250" s="29"/>
      <c r="H1250" s="27"/>
      <c r="K1250"/>
      <c r="P1250" s="27"/>
      <c r="Q1250" s="27"/>
      <c r="R1250" s="27"/>
    </row>
    <row r="1251" spans="1:18">
      <c r="A1251" s="28"/>
      <c r="B1251" s="29"/>
      <c r="C1251" s="29"/>
      <c r="D1251" s="29"/>
      <c r="E1251" s="29"/>
      <c r="H1251" s="27"/>
      <c r="K1251"/>
      <c r="P1251" s="27"/>
      <c r="Q1251" s="27"/>
      <c r="R1251" s="27"/>
    </row>
    <row r="1252" spans="1:18">
      <c r="A1252" s="28"/>
      <c r="B1252" s="29"/>
      <c r="C1252" s="29"/>
      <c r="D1252" s="29"/>
      <c r="E1252" s="29"/>
      <c r="H1252" s="27"/>
      <c r="K1252"/>
      <c r="P1252" s="27"/>
      <c r="Q1252" s="27"/>
      <c r="R1252" s="27"/>
    </row>
    <row r="1253" spans="1:18">
      <c r="A1253" s="28"/>
      <c r="B1253" s="29"/>
      <c r="C1253" s="29"/>
      <c r="D1253" s="29"/>
      <c r="E1253" s="29"/>
      <c r="H1253" s="27"/>
      <c r="K1253"/>
      <c r="P1253" s="27"/>
      <c r="Q1253" s="27"/>
      <c r="R1253" s="27"/>
    </row>
    <row r="1254" spans="1:18">
      <c r="A1254" s="28"/>
      <c r="B1254" s="29"/>
      <c r="C1254" s="29"/>
      <c r="D1254" s="29"/>
      <c r="E1254" s="29"/>
      <c r="H1254" s="27"/>
      <c r="K1254"/>
      <c r="P1254" s="27"/>
      <c r="Q1254" s="27"/>
      <c r="R1254" s="27"/>
    </row>
    <row r="1255" spans="1:18">
      <c r="A1255" s="28"/>
      <c r="B1255" s="29"/>
      <c r="C1255" s="29"/>
      <c r="D1255" s="29"/>
      <c r="E1255" s="29"/>
      <c r="H1255" s="27"/>
      <c r="K1255"/>
      <c r="P1255" s="27"/>
      <c r="Q1255" s="27"/>
      <c r="R1255" s="27"/>
    </row>
    <row r="1256" spans="1:18">
      <c r="A1256" s="28"/>
      <c r="B1256" s="29"/>
      <c r="C1256" s="29"/>
      <c r="D1256" s="29"/>
      <c r="E1256" s="29"/>
      <c r="H1256" s="27"/>
      <c r="K1256"/>
      <c r="P1256" s="27"/>
      <c r="Q1256" s="27"/>
      <c r="R1256" s="27"/>
    </row>
    <row r="1257" spans="1:18">
      <c r="A1257" s="28"/>
      <c r="B1257" s="29"/>
      <c r="C1257" s="29"/>
      <c r="D1257" s="29"/>
      <c r="E1257" s="29"/>
      <c r="H1257" s="27"/>
      <c r="K1257"/>
      <c r="P1257" s="27"/>
      <c r="Q1257" s="27"/>
      <c r="R1257" s="27"/>
    </row>
    <row r="1258" spans="1:18">
      <c r="A1258" s="28"/>
      <c r="B1258" s="29"/>
      <c r="C1258" s="29"/>
      <c r="D1258" s="29"/>
      <c r="E1258" s="29"/>
      <c r="H1258" s="27"/>
      <c r="K1258"/>
      <c r="P1258" s="27"/>
      <c r="Q1258" s="27"/>
      <c r="R1258" s="27"/>
    </row>
    <row r="1259" spans="1:18">
      <c r="A1259" s="28"/>
      <c r="B1259" s="29"/>
      <c r="C1259" s="29"/>
      <c r="D1259" s="29"/>
      <c r="E1259" s="29"/>
      <c r="H1259" s="27"/>
      <c r="K1259"/>
      <c r="P1259" s="27"/>
      <c r="Q1259" s="27"/>
      <c r="R1259" s="27"/>
    </row>
    <row r="1260" spans="1:18">
      <c r="A1260" s="28"/>
      <c r="B1260" s="29"/>
      <c r="C1260" s="29"/>
      <c r="D1260" s="29"/>
      <c r="E1260" s="29"/>
      <c r="H1260" s="27"/>
      <c r="K1260"/>
      <c r="P1260" s="27"/>
      <c r="Q1260" s="27"/>
      <c r="R1260" s="27"/>
    </row>
    <row r="1261" spans="1:18">
      <c r="A1261" s="28"/>
      <c r="B1261" s="29"/>
      <c r="C1261" s="29"/>
      <c r="D1261" s="29"/>
      <c r="E1261" s="29"/>
      <c r="H1261" s="27"/>
      <c r="K1261"/>
      <c r="P1261" s="27"/>
      <c r="Q1261" s="27"/>
      <c r="R1261" s="27"/>
    </row>
    <row r="1262" spans="1:18">
      <c r="A1262" s="28"/>
      <c r="B1262" s="29"/>
      <c r="C1262" s="29"/>
      <c r="D1262" s="29"/>
      <c r="E1262" s="29"/>
      <c r="H1262" s="27"/>
      <c r="K1262"/>
      <c r="P1262" s="27"/>
      <c r="Q1262" s="27"/>
      <c r="R1262" s="27"/>
    </row>
    <row r="1263" spans="1:18">
      <c r="A1263" s="28"/>
      <c r="B1263" s="29"/>
      <c r="C1263" s="29"/>
      <c r="D1263" s="29"/>
      <c r="E1263" s="29"/>
      <c r="H1263" s="27"/>
      <c r="K1263"/>
      <c r="P1263" s="27"/>
      <c r="Q1263" s="27"/>
      <c r="R1263" s="27"/>
    </row>
    <row r="1264" spans="1:18">
      <c r="A1264" s="28"/>
      <c r="B1264" s="29"/>
      <c r="C1264" s="29"/>
      <c r="D1264" s="29"/>
      <c r="E1264" s="29"/>
      <c r="H1264" s="27"/>
      <c r="K1264"/>
      <c r="P1264" s="27"/>
      <c r="Q1264" s="27"/>
      <c r="R1264" s="27"/>
    </row>
    <row r="1265" spans="1:18">
      <c r="A1265" s="28"/>
      <c r="B1265" s="29"/>
      <c r="C1265" s="29"/>
      <c r="D1265" s="29"/>
      <c r="E1265" s="29"/>
      <c r="H1265" s="27"/>
      <c r="K1265"/>
      <c r="P1265" s="27"/>
      <c r="Q1265" s="27"/>
      <c r="R1265" s="27"/>
    </row>
    <row r="1266" spans="1:18">
      <c r="A1266" s="28"/>
      <c r="B1266" s="29"/>
      <c r="C1266" s="29"/>
      <c r="D1266" s="29"/>
      <c r="E1266" s="29"/>
      <c r="H1266" s="27"/>
      <c r="K1266"/>
      <c r="P1266" s="27"/>
      <c r="Q1266" s="27"/>
      <c r="R1266" s="27"/>
    </row>
    <row r="1267" spans="1:18">
      <c r="A1267" s="28"/>
      <c r="B1267" s="29"/>
      <c r="C1267" s="29"/>
      <c r="D1267" s="29"/>
      <c r="E1267" s="29"/>
      <c r="H1267" s="27"/>
      <c r="K1267"/>
      <c r="P1267" s="27"/>
      <c r="Q1267" s="27"/>
      <c r="R1267" s="27"/>
    </row>
    <row r="1268" spans="1:18">
      <c r="A1268" s="28"/>
      <c r="B1268" s="29"/>
      <c r="C1268" s="29"/>
      <c r="D1268" s="29"/>
      <c r="E1268" s="29"/>
      <c r="H1268" s="27"/>
      <c r="K1268"/>
      <c r="P1268" s="27"/>
      <c r="Q1268" s="27"/>
      <c r="R1268" s="27"/>
    </row>
    <row r="1269" spans="1:18">
      <c r="A1269" s="28"/>
      <c r="B1269" s="29"/>
      <c r="C1269" s="29"/>
      <c r="D1269" s="29"/>
      <c r="E1269" s="29"/>
      <c r="H1269" s="27"/>
      <c r="K1269"/>
      <c r="P1269" s="27"/>
      <c r="Q1269" s="27"/>
      <c r="R1269" s="27"/>
    </row>
    <row r="1270" spans="1:18">
      <c r="A1270" s="28"/>
      <c r="B1270" s="29"/>
      <c r="C1270" s="29"/>
      <c r="D1270" s="29"/>
      <c r="E1270" s="29"/>
      <c r="H1270" s="27"/>
      <c r="K1270"/>
      <c r="P1270" s="27"/>
      <c r="Q1270" s="27"/>
      <c r="R1270" s="27"/>
    </row>
    <row r="1271" spans="1:18">
      <c r="A1271" s="28"/>
      <c r="B1271" s="29"/>
      <c r="C1271" s="29"/>
      <c r="D1271" s="29"/>
      <c r="E1271" s="29"/>
      <c r="H1271" s="27"/>
      <c r="K1271"/>
      <c r="P1271" s="27"/>
      <c r="Q1271" s="27"/>
      <c r="R1271" s="27"/>
    </row>
    <row r="1272" spans="1:18">
      <c r="A1272" s="28"/>
      <c r="B1272" s="29"/>
      <c r="C1272" s="29"/>
      <c r="D1272" s="29"/>
      <c r="E1272" s="29"/>
      <c r="H1272" s="27"/>
      <c r="K1272"/>
      <c r="P1272" s="27"/>
      <c r="Q1272" s="27"/>
      <c r="R1272" s="27"/>
    </row>
    <row r="1273" spans="1:18">
      <c r="A1273" s="28"/>
      <c r="B1273" s="29"/>
      <c r="C1273" s="29"/>
      <c r="D1273" s="29"/>
      <c r="E1273" s="29"/>
      <c r="H1273" s="27"/>
      <c r="K1273"/>
      <c r="P1273" s="27"/>
      <c r="Q1273" s="27"/>
      <c r="R1273" s="27"/>
    </row>
    <row r="1274" spans="1:18">
      <c r="A1274" s="28"/>
      <c r="B1274" s="29"/>
      <c r="C1274" s="29"/>
      <c r="D1274" s="29"/>
      <c r="E1274" s="29"/>
      <c r="H1274" s="27"/>
      <c r="K1274"/>
      <c r="P1274" s="27"/>
      <c r="Q1274" s="27"/>
      <c r="R1274" s="27"/>
    </row>
    <row r="1275" spans="1:18">
      <c r="A1275" s="28"/>
      <c r="B1275" s="29"/>
      <c r="C1275" s="29"/>
      <c r="D1275" s="29"/>
      <c r="E1275" s="29"/>
      <c r="H1275" s="27"/>
      <c r="K1275"/>
      <c r="P1275" s="27"/>
      <c r="Q1275" s="27"/>
      <c r="R1275" s="27"/>
    </row>
    <row r="1276" spans="1:18">
      <c r="A1276" s="28"/>
      <c r="B1276" s="29"/>
      <c r="C1276" s="29"/>
      <c r="D1276" s="29"/>
      <c r="E1276" s="29"/>
      <c r="H1276" s="27"/>
      <c r="K1276"/>
      <c r="P1276" s="27"/>
      <c r="Q1276" s="27"/>
      <c r="R1276" s="27"/>
    </row>
    <row r="1277" spans="1:18">
      <c r="A1277" s="28"/>
      <c r="B1277" s="29"/>
      <c r="C1277" s="29"/>
      <c r="D1277" s="29"/>
      <c r="E1277" s="29"/>
      <c r="H1277" s="27"/>
      <c r="K1277"/>
      <c r="P1277" s="27"/>
      <c r="Q1277" s="27"/>
      <c r="R1277" s="27"/>
    </row>
    <row r="1278" spans="1:18">
      <c r="A1278" s="28"/>
      <c r="B1278" s="29"/>
      <c r="C1278" s="29"/>
      <c r="D1278" s="29"/>
      <c r="E1278" s="29"/>
      <c r="H1278" s="27"/>
      <c r="K1278"/>
      <c r="P1278" s="27"/>
      <c r="Q1278" s="27"/>
      <c r="R1278" s="27"/>
    </row>
    <row r="1279" spans="1:18">
      <c r="A1279" s="28"/>
      <c r="B1279" s="29"/>
      <c r="C1279" s="29"/>
      <c r="D1279" s="29"/>
      <c r="E1279" s="29"/>
      <c r="H1279" s="27"/>
      <c r="K1279"/>
      <c r="P1279" s="27"/>
      <c r="Q1279" s="27"/>
      <c r="R1279" s="27"/>
    </row>
    <row r="1280" spans="1:18">
      <c r="A1280" s="28"/>
      <c r="B1280" s="29"/>
      <c r="C1280" s="29"/>
      <c r="D1280" s="29"/>
      <c r="E1280" s="29"/>
      <c r="H1280" s="27"/>
      <c r="K1280"/>
      <c r="P1280" s="27"/>
      <c r="Q1280" s="27"/>
      <c r="R1280" s="27"/>
    </row>
    <row r="1281" spans="1:18">
      <c r="A1281" s="28"/>
      <c r="B1281" s="29"/>
      <c r="C1281" s="29"/>
      <c r="D1281" s="29"/>
      <c r="E1281" s="29"/>
      <c r="H1281" s="27"/>
      <c r="K1281"/>
      <c r="P1281" s="27"/>
      <c r="Q1281" s="27"/>
      <c r="R1281" s="27"/>
    </row>
    <row r="1282" spans="1:18">
      <c r="A1282" s="28"/>
      <c r="B1282" s="29"/>
      <c r="C1282" s="29"/>
      <c r="D1282" s="29"/>
      <c r="E1282" s="29"/>
      <c r="H1282" s="27"/>
      <c r="K1282"/>
      <c r="P1282" s="27"/>
      <c r="Q1282" s="27"/>
      <c r="R1282" s="27"/>
    </row>
    <row r="1283" spans="1:18">
      <c r="A1283" s="28"/>
      <c r="B1283" s="29"/>
      <c r="C1283" s="29"/>
      <c r="D1283" s="29"/>
      <c r="E1283" s="29"/>
      <c r="H1283" s="27"/>
      <c r="K1283"/>
      <c r="P1283" s="27"/>
      <c r="Q1283" s="27"/>
      <c r="R1283" s="27"/>
    </row>
    <row r="1284" spans="1:18">
      <c r="A1284" s="28"/>
      <c r="B1284" s="29"/>
      <c r="C1284" s="29"/>
      <c r="D1284" s="29"/>
      <c r="E1284" s="29"/>
      <c r="H1284" s="27"/>
      <c r="K1284"/>
      <c r="P1284" s="27"/>
      <c r="Q1284" s="27"/>
      <c r="R1284" s="27"/>
    </row>
    <row r="1285" spans="1:18">
      <c r="A1285" s="28"/>
      <c r="B1285" s="29"/>
      <c r="C1285" s="29"/>
      <c r="D1285" s="29"/>
      <c r="E1285" s="29"/>
      <c r="H1285" s="27"/>
      <c r="K1285"/>
      <c r="P1285" s="27"/>
      <c r="Q1285" s="27"/>
      <c r="R1285" s="27"/>
    </row>
    <row r="1286" spans="1:18">
      <c r="A1286" s="28"/>
      <c r="B1286" s="29"/>
      <c r="C1286" s="29"/>
      <c r="D1286" s="29"/>
      <c r="E1286" s="29"/>
      <c r="H1286" s="27"/>
      <c r="K1286"/>
      <c r="P1286" s="27"/>
      <c r="Q1286" s="27"/>
      <c r="R1286" s="27"/>
    </row>
    <row r="1287" spans="1:18">
      <c r="A1287" s="28"/>
      <c r="B1287" s="29"/>
      <c r="C1287" s="29"/>
      <c r="D1287" s="29"/>
      <c r="E1287" s="29"/>
      <c r="H1287" s="27"/>
      <c r="K1287"/>
      <c r="P1287" s="27"/>
      <c r="Q1287" s="27"/>
      <c r="R1287" s="27"/>
    </row>
    <row r="1288" spans="1:18">
      <c r="A1288" s="28"/>
      <c r="B1288" s="29"/>
      <c r="C1288" s="29"/>
      <c r="D1288" s="29"/>
      <c r="E1288" s="29"/>
      <c r="H1288" s="27"/>
      <c r="K1288"/>
      <c r="P1288" s="27"/>
      <c r="Q1288" s="27"/>
      <c r="R1288" s="27"/>
    </row>
    <row r="1289" spans="1:18">
      <c r="A1289" s="28"/>
      <c r="B1289" s="29"/>
      <c r="C1289" s="29"/>
      <c r="D1289" s="29"/>
      <c r="E1289" s="29"/>
      <c r="H1289" s="27"/>
      <c r="K1289"/>
      <c r="P1289" s="27"/>
      <c r="Q1289" s="27"/>
      <c r="R1289" s="27"/>
    </row>
    <row r="1290" spans="1:18">
      <c r="A1290" s="28"/>
      <c r="B1290" s="29"/>
      <c r="C1290" s="29"/>
      <c r="D1290" s="29"/>
      <c r="E1290" s="29"/>
      <c r="H1290" s="27"/>
      <c r="K1290"/>
      <c r="P1290" s="27"/>
      <c r="Q1290" s="27"/>
      <c r="R1290" s="27"/>
    </row>
    <row r="1291" spans="1:18">
      <c r="A1291" s="28"/>
      <c r="B1291" s="29"/>
      <c r="C1291" s="29"/>
      <c r="D1291" s="29"/>
      <c r="E1291" s="29"/>
      <c r="H1291" s="27"/>
      <c r="K1291"/>
      <c r="P1291" s="27"/>
      <c r="Q1291" s="27"/>
      <c r="R1291" s="27"/>
    </row>
    <row r="1292" spans="1:18">
      <c r="A1292" s="28"/>
      <c r="B1292" s="29"/>
      <c r="C1292" s="29"/>
      <c r="D1292" s="29"/>
      <c r="E1292" s="29"/>
      <c r="H1292" s="27"/>
      <c r="K1292"/>
      <c r="P1292" s="27"/>
      <c r="Q1292" s="27"/>
      <c r="R1292" s="27"/>
    </row>
    <row r="1293" spans="1:18">
      <c r="A1293" s="28"/>
      <c r="B1293" s="29"/>
      <c r="C1293" s="29"/>
      <c r="D1293" s="29"/>
      <c r="E1293" s="29"/>
      <c r="H1293" s="27"/>
      <c r="K1293"/>
      <c r="P1293" s="27"/>
      <c r="Q1293" s="27"/>
      <c r="R1293" s="27"/>
    </row>
    <row r="1294" spans="1:18">
      <c r="A1294" s="28"/>
      <c r="B1294" s="29"/>
      <c r="C1294" s="29"/>
      <c r="D1294" s="29"/>
      <c r="E1294" s="29"/>
      <c r="H1294" s="27"/>
      <c r="K1294"/>
      <c r="P1294" s="27"/>
      <c r="Q1294" s="27"/>
      <c r="R1294" s="27"/>
    </row>
    <row r="1295" spans="1:18">
      <c r="A1295" s="28"/>
      <c r="B1295" s="29"/>
      <c r="C1295" s="29"/>
      <c r="D1295" s="29"/>
      <c r="E1295" s="29"/>
      <c r="H1295" s="27"/>
      <c r="K1295"/>
      <c r="P1295" s="27"/>
      <c r="Q1295" s="27"/>
      <c r="R1295" s="27"/>
    </row>
    <row r="1296" spans="1:18">
      <c r="A1296" s="28"/>
      <c r="B1296" s="29"/>
      <c r="C1296" s="29"/>
      <c r="D1296" s="29"/>
      <c r="E1296" s="29"/>
      <c r="H1296" s="27"/>
      <c r="K1296"/>
      <c r="P1296" s="27"/>
      <c r="Q1296" s="27"/>
      <c r="R1296" s="27"/>
    </row>
    <row r="1297" spans="1:18">
      <c r="A1297" s="28"/>
      <c r="B1297" s="29"/>
      <c r="C1297" s="29"/>
      <c r="D1297" s="29"/>
      <c r="E1297" s="29"/>
      <c r="H1297" s="27"/>
      <c r="K1297"/>
      <c r="P1297" s="27"/>
      <c r="Q1297" s="27"/>
      <c r="R1297" s="27"/>
    </row>
    <row r="1298" spans="1:18">
      <c r="A1298" s="28"/>
      <c r="B1298" s="29"/>
      <c r="C1298" s="29"/>
      <c r="D1298" s="29"/>
      <c r="E1298" s="29"/>
      <c r="H1298" s="27"/>
      <c r="K1298"/>
      <c r="P1298" s="27"/>
      <c r="Q1298" s="27"/>
      <c r="R1298" s="27"/>
    </row>
    <row r="1299" spans="1:18">
      <c r="A1299" s="28"/>
      <c r="B1299" s="29"/>
      <c r="C1299" s="29"/>
      <c r="D1299" s="29"/>
      <c r="E1299" s="29"/>
      <c r="H1299" s="27"/>
      <c r="K1299"/>
      <c r="P1299" s="27"/>
      <c r="Q1299" s="27"/>
      <c r="R1299" s="27"/>
    </row>
    <row r="1300" spans="1:18">
      <c r="A1300" s="28"/>
      <c r="B1300" s="29"/>
      <c r="C1300" s="29"/>
      <c r="D1300" s="29"/>
      <c r="E1300" s="29"/>
      <c r="H1300" s="27"/>
      <c r="K1300"/>
      <c r="P1300" s="27"/>
      <c r="Q1300" s="27"/>
      <c r="R1300" s="27"/>
    </row>
    <row r="1301" spans="1:18">
      <c r="A1301" s="28"/>
      <c r="B1301" s="29"/>
      <c r="C1301" s="29"/>
      <c r="D1301" s="29"/>
      <c r="E1301" s="29"/>
      <c r="H1301" s="27"/>
      <c r="K1301"/>
      <c r="P1301" s="27"/>
      <c r="Q1301" s="27"/>
      <c r="R1301" s="27"/>
    </row>
    <row r="1302" spans="1:18">
      <c r="A1302" s="28"/>
      <c r="B1302" s="29"/>
      <c r="C1302" s="29"/>
      <c r="D1302" s="29"/>
      <c r="E1302" s="29"/>
      <c r="H1302" s="27"/>
      <c r="K1302"/>
      <c r="P1302" s="27"/>
      <c r="Q1302" s="27"/>
      <c r="R1302" s="27"/>
    </row>
    <row r="1303" spans="1:18">
      <c r="A1303" s="28"/>
      <c r="B1303" s="29"/>
      <c r="C1303" s="29"/>
      <c r="D1303" s="29"/>
      <c r="E1303" s="29"/>
      <c r="H1303" s="27"/>
      <c r="K1303"/>
      <c r="P1303" s="27"/>
      <c r="Q1303" s="27"/>
      <c r="R1303" s="27"/>
    </row>
    <row r="1304" spans="1:18">
      <c r="A1304" s="28"/>
      <c r="B1304" s="29"/>
      <c r="C1304" s="29"/>
      <c r="D1304" s="29"/>
      <c r="E1304" s="29"/>
      <c r="H1304" s="27"/>
      <c r="K1304"/>
      <c r="P1304" s="27"/>
      <c r="Q1304" s="27"/>
      <c r="R1304" s="27"/>
    </row>
    <row r="1305" spans="1:18">
      <c r="A1305" s="28"/>
      <c r="B1305" s="29"/>
      <c r="C1305" s="29"/>
      <c r="D1305" s="29"/>
      <c r="E1305" s="29"/>
      <c r="H1305" s="27"/>
      <c r="K1305"/>
      <c r="P1305" s="27"/>
      <c r="Q1305" s="27"/>
      <c r="R1305" s="27"/>
    </row>
    <row r="1306" spans="1:18">
      <c r="A1306" s="28"/>
      <c r="B1306" s="29"/>
      <c r="C1306" s="29"/>
      <c r="D1306" s="29"/>
      <c r="E1306" s="29"/>
      <c r="H1306" s="27"/>
      <c r="K1306"/>
      <c r="P1306" s="27"/>
      <c r="Q1306" s="27"/>
      <c r="R1306" s="27"/>
    </row>
    <row r="1307" spans="1:18">
      <c r="A1307" s="28"/>
      <c r="B1307" s="29"/>
      <c r="C1307" s="29"/>
      <c r="D1307" s="29"/>
      <c r="E1307" s="29"/>
      <c r="H1307" s="27"/>
      <c r="K1307"/>
      <c r="P1307" s="27"/>
      <c r="Q1307" s="27"/>
      <c r="R1307" s="27"/>
    </row>
    <row r="1308" spans="1:18">
      <c r="A1308" s="28"/>
      <c r="B1308" s="29"/>
      <c r="C1308" s="29"/>
      <c r="D1308" s="29"/>
      <c r="E1308" s="29"/>
      <c r="H1308" s="27"/>
      <c r="K1308"/>
      <c r="P1308" s="27"/>
      <c r="Q1308" s="27"/>
      <c r="R1308" s="27"/>
    </row>
    <row r="1309" spans="1:18">
      <c r="A1309" s="28"/>
      <c r="B1309" s="29"/>
      <c r="C1309" s="29"/>
      <c r="D1309" s="29"/>
      <c r="E1309" s="29"/>
      <c r="H1309" s="27"/>
      <c r="K1309"/>
      <c r="P1309" s="27"/>
      <c r="Q1309" s="27"/>
      <c r="R1309" s="27"/>
    </row>
    <row r="1310" spans="1:18">
      <c r="A1310" s="28"/>
      <c r="B1310" s="29"/>
      <c r="C1310" s="29"/>
      <c r="D1310" s="29"/>
      <c r="E1310" s="29"/>
      <c r="H1310" s="27"/>
      <c r="K1310"/>
      <c r="P1310" s="27"/>
      <c r="Q1310" s="27"/>
      <c r="R1310" s="27"/>
    </row>
    <row r="1311" spans="1:18">
      <c r="A1311" s="28"/>
      <c r="B1311" s="29"/>
      <c r="C1311" s="29"/>
      <c r="D1311" s="29"/>
      <c r="E1311" s="29"/>
      <c r="H1311" s="27"/>
      <c r="K1311"/>
      <c r="P1311" s="27"/>
      <c r="Q1311" s="27"/>
      <c r="R1311" s="27"/>
    </row>
    <row r="1312" spans="1:18">
      <c r="A1312" s="28"/>
      <c r="B1312" s="29"/>
      <c r="C1312" s="29"/>
      <c r="D1312" s="29"/>
      <c r="E1312" s="29"/>
      <c r="H1312" s="27"/>
      <c r="K1312"/>
      <c r="P1312" s="27"/>
      <c r="Q1312" s="27"/>
      <c r="R1312" s="27"/>
    </row>
    <row r="1313" spans="1:18">
      <c r="A1313" s="28"/>
      <c r="B1313" s="29"/>
      <c r="C1313" s="29"/>
      <c r="D1313" s="29"/>
      <c r="E1313" s="29"/>
      <c r="H1313" s="27"/>
      <c r="K1313"/>
      <c r="P1313" s="27"/>
      <c r="Q1313" s="27"/>
      <c r="R1313" s="27"/>
    </row>
    <row r="1314" spans="1:18">
      <c r="A1314" s="28"/>
      <c r="B1314" s="29"/>
      <c r="C1314" s="29"/>
      <c r="D1314" s="29"/>
      <c r="E1314" s="29"/>
      <c r="H1314" s="27"/>
      <c r="K1314"/>
      <c r="P1314" s="27"/>
      <c r="Q1314" s="27"/>
      <c r="R1314" s="27"/>
    </row>
    <row r="1315" spans="1:18">
      <c r="A1315" s="28"/>
      <c r="B1315" s="29"/>
      <c r="C1315" s="29"/>
      <c r="D1315" s="29"/>
      <c r="E1315" s="29"/>
      <c r="H1315" s="27"/>
      <c r="K1315"/>
      <c r="P1315" s="27"/>
      <c r="Q1315" s="27"/>
      <c r="R1315" s="27"/>
    </row>
    <row r="1316" spans="1:18">
      <c r="A1316" s="28"/>
      <c r="B1316" s="29"/>
      <c r="C1316" s="29"/>
      <c r="D1316" s="29"/>
      <c r="E1316" s="29"/>
      <c r="H1316" s="27"/>
      <c r="K1316"/>
      <c r="P1316" s="27"/>
      <c r="Q1316" s="27"/>
      <c r="R1316" s="27"/>
    </row>
    <row r="1317" spans="1:18">
      <c r="A1317" s="28"/>
      <c r="B1317" s="29"/>
      <c r="C1317" s="29"/>
      <c r="D1317" s="29"/>
      <c r="E1317" s="29"/>
      <c r="H1317" s="27"/>
      <c r="K1317"/>
      <c r="P1317" s="27"/>
      <c r="Q1317" s="27"/>
      <c r="R1317" s="27"/>
    </row>
    <row r="1318" spans="1:18">
      <c r="A1318" s="28"/>
      <c r="B1318" s="29"/>
      <c r="C1318" s="29"/>
      <c r="D1318" s="29"/>
      <c r="E1318" s="29"/>
      <c r="H1318" s="27"/>
      <c r="K1318"/>
      <c r="P1318" s="27"/>
      <c r="Q1318" s="27"/>
      <c r="R1318" s="27"/>
    </row>
    <row r="1319" spans="1:18">
      <c r="A1319" s="28"/>
      <c r="B1319" s="29"/>
      <c r="C1319" s="29"/>
      <c r="D1319" s="29"/>
      <c r="E1319" s="29"/>
      <c r="H1319" s="27"/>
      <c r="K1319"/>
      <c r="P1319" s="27"/>
      <c r="Q1319" s="27"/>
      <c r="R1319" s="27"/>
    </row>
    <row r="1320" spans="1:18">
      <c r="A1320" s="28"/>
      <c r="B1320" s="29"/>
      <c r="C1320" s="29"/>
      <c r="D1320" s="29"/>
      <c r="E1320" s="29"/>
      <c r="H1320" s="27"/>
      <c r="K1320"/>
      <c r="P1320" s="27"/>
      <c r="Q1320" s="27"/>
      <c r="R1320" s="27"/>
    </row>
    <row r="1321" spans="1:18">
      <c r="A1321" s="28"/>
      <c r="B1321" s="29"/>
      <c r="C1321" s="29"/>
      <c r="D1321" s="29"/>
      <c r="E1321" s="29"/>
      <c r="H1321" s="27"/>
      <c r="K1321"/>
      <c r="P1321" s="27"/>
      <c r="Q1321" s="27"/>
      <c r="R1321" s="27"/>
    </row>
    <row r="1322" spans="1:18">
      <c r="A1322" s="28"/>
      <c r="B1322" s="29"/>
      <c r="C1322" s="29"/>
      <c r="D1322" s="29"/>
      <c r="E1322" s="29"/>
      <c r="H1322" s="27"/>
      <c r="K1322"/>
      <c r="P1322" s="27"/>
      <c r="Q1322" s="27"/>
      <c r="R1322" s="27"/>
    </row>
    <row r="1323" spans="1:18">
      <c r="A1323" s="28"/>
      <c r="B1323" s="29"/>
      <c r="C1323" s="29"/>
      <c r="D1323" s="29"/>
      <c r="E1323" s="29"/>
      <c r="H1323" s="27"/>
      <c r="K1323"/>
      <c r="P1323" s="27"/>
      <c r="Q1323" s="27"/>
      <c r="R1323" s="27"/>
    </row>
    <row r="1324" spans="1:18">
      <c r="A1324" s="28"/>
      <c r="B1324" s="29"/>
      <c r="C1324" s="29"/>
      <c r="D1324" s="29"/>
      <c r="E1324" s="29"/>
      <c r="H1324" s="27"/>
      <c r="K1324"/>
      <c r="P1324" s="27"/>
      <c r="Q1324" s="27"/>
      <c r="R1324" s="27"/>
    </row>
    <row r="1325" spans="1:18">
      <c r="A1325" s="28"/>
      <c r="B1325" s="29"/>
      <c r="C1325" s="29"/>
      <c r="D1325" s="29"/>
      <c r="E1325" s="29"/>
      <c r="H1325" s="27"/>
      <c r="K1325"/>
      <c r="P1325" s="27"/>
      <c r="Q1325" s="27"/>
      <c r="R1325" s="27"/>
    </row>
    <row r="1326" spans="1:18">
      <c r="A1326" s="28"/>
      <c r="B1326" s="29"/>
      <c r="C1326" s="29"/>
      <c r="D1326" s="29"/>
      <c r="E1326" s="29"/>
      <c r="H1326" s="27"/>
      <c r="K1326"/>
      <c r="P1326" s="27"/>
      <c r="Q1326" s="27"/>
      <c r="R1326" s="27"/>
    </row>
    <row r="1327" spans="1:18">
      <c r="A1327" s="28"/>
      <c r="B1327" s="29"/>
      <c r="C1327" s="29"/>
      <c r="D1327" s="29"/>
      <c r="E1327" s="29"/>
      <c r="H1327" s="27"/>
      <c r="K1327"/>
      <c r="P1327" s="27"/>
      <c r="Q1327" s="27"/>
      <c r="R1327" s="27"/>
    </row>
    <row r="1328" spans="1:18">
      <c r="A1328" s="28"/>
      <c r="B1328" s="29"/>
      <c r="C1328" s="29"/>
      <c r="D1328" s="29"/>
      <c r="E1328" s="29"/>
      <c r="H1328" s="27"/>
      <c r="K1328"/>
      <c r="P1328" s="27"/>
      <c r="Q1328" s="27"/>
      <c r="R1328" s="27"/>
    </row>
    <row r="1329" spans="1:18">
      <c r="A1329" s="28"/>
      <c r="B1329" s="29"/>
      <c r="C1329" s="29"/>
      <c r="D1329" s="29"/>
      <c r="E1329" s="29"/>
      <c r="H1329" s="27"/>
      <c r="K1329"/>
      <c r="P1329" s="27"/>
      <c r="Q1329" s="27"/>
      <c r="R1329" s="27"/>
    </row>
    <row r="1330" spans="1:18">
      <c r="A1330" s="28"/>
      <c r="B1330" s="29"/>
      <c r="C1330" s="29"/>
      <c r="D1330" s="29"/>
      <c r="E1330" s="29"/>
      <c r="H1330" s="27"/>
      <c r="K1330"/>
      <c r="P1330" s="27"/>
      <c r="Q1330" s="27"/>
      <c r="R1330" s="27"/>
    </row>
    <row r="1331" spans="1:18">
      <c r="A1331" s="28"/>
      <c r="B1331" s="29"/>
      <c r="C1331" s="29"/>
      <c r="D1331" s="29"/>
      <c r="E1331" s="29"/>
      <c r="H1331" s="27"/>
      <c r="K1331"/>
      <c r="P1331" s="27"/>
      <c r="Q1331" s="27"/>
      <c r="R1331" s="27"/>
    </row>
    <row r="1332" spans="1:18">
      <c r="A1332" s="28"/>
      <c r="B1332" s="29"/>
      <c r="C1332" s="29"/>
      <c r="D1332" s="29"/>
      <c r="E1332" s="29"/>
      <c r="H1332" s="27"/>
      <c r="K1332"/>
      <c r="P1332" s="27"/>
      <c r="Q1332" s="27"/>
      <c r="R1332" s="27"/>
    </row>
    <row r="1333" spans="1:18">
      <c r="A1333" s="28"/>
      <c r="B1333" s="29"/>
      <c r="C1333" s="29"/>
      <c r="D1333" s="29"/>
      <c r="E1333" s="29"/>
      <c r="H1333" s="27"/>
      <c r="K1333"/>
      <c r="P1333" s="27"/>
      <c r="Q1333" s="27"/>
      <c r="R1333" s="27"/>
    </row>
    <row r="1334" spans="1:18">
      <c r="A1334" s="28"/>
      <c r="B1334" s="29"/>
      <c r="C1334" s="29"/>
      <c r="D1334" s="29"/>
      <c r="E1334" s="29"/>
      <c r="H1334" s="27"/>
      <c r="K1334"/>
      <c r="P1334" s="27"/>
      <c r="Q1334" s="27"/>
      <c r="R1334" s="27"/>
    </row>
    <row r="1335" spans="1:18">
      <c r="A1335" s="28"/>
      <c r="B1335" s="29"/>
      <c r="C1335" s="29"/>
      <c r="D1335" s="29"/>
      <c r="E1335" s="29"/>
      <c r="H1335" s="27"/>
      <c r="K1335"/>
      <c r="P1335" s="27"/>
      <c r="Q1335" s="27"/>
      <c r="R1335" s="27"/>
    </row>
    <row r="1336" spans="1:18">
      <c r="A1336" s="28"/>
      <c r="B1336" s="29"/>
      <c r="C1336" s="29"/>
      <c r="D1336" s="29"/>
      <c r="E1336" s="29"/>
      <c r="H1336" s="27"/>
      <c r="K1336"/>
      <c r="P1336" s="27"/>
      <c r="Q1336" s="27"/>
      <c r="R1336" s="27"/>
    </row>
    <row r="1337" spans="1:18">
      <c r="A1337" s="28"/>
      <c r="B1337" s="29"/>
      <c r="C1337" s="29"/>
      <c r="D1337" s="29"/>
      <c r="E1337" s="29"/>
      <c r="H1337" s="27"/>
      <c r="K1337"/>
      <c r="P1337" s="27"/>
      <c r="Q1337" s="27"/>
      <c r="R1337" s="27"/>
    </row>
    <row r="1338" spans="1:18">
      <c r="A1338" s="28"/>
      <c r="B1338" s="29"/>
      <c r="C1338" s="29"/>
      <c r="D1338" s="29"/>
      <c r="E1338" s="29"/>
      <c r="H1338" s="27"/>
      <c r="K1338"/>
      <c r="P1338" s="27"/>
      <c r="Q1338" s="27"/>
      <c r="R1338" s="27"/>
    </row>
    <row r="1339" spans="1:18">
      <c r="A1339" s="28"/>
      <c r="B1339" s="29"/>
      <c r="C1339" s="29"/>
      <c r="D1339" s="29"/>
      <c r="E1339" s="29"/>
      <c r="H1339" s="27"/>
      <c r="K1339"/>
      <c r="P1339" s="27"/>
      <c r="Q1339" s="27"/>
      <c r="R1339" s="27"/>
    </row>
    <row r="1340" spans="1:18">
      <c r="A1340" s="28"/>
      <c r="B1340" s="29"/>
      <c r="C1340" s="29"/>
      <c r="D1340" s="29"/>
      <c r="E1340" s="29"/>
      <c r="H1340" s="27"/>
      <c r="K1340"/>
      <c r="P1340" s="27"/>
      <c r="Q1340" s="27"/>
      <c r="R1340" s="27"/>
    </row>
    <row r="1341" spans="1:18">
      <c r="A1341" s="28"/>
      <c r="B1341" s="29"/>
      <c r="C1341" s="29"/>
      <c r="D1341" s="29"/>
      <c r="E1341" s="29"/>
      <c r="H1341" s="27"/>
      <c r="K1341"/>
      <c r="P1341" s="27"/>
      <c r="Q1341" s="27"/>
      <c r="R1341" s="27"/>
    </row>
    <row r="1342" spans="1:18">
      <c r="A1342" s="28"/>
      <c r="B1342" s="29"/>
      <c r="C1342" s="29"/>
      <c r="D1342" s="29"/>
      <c r="E1342" s="29"/>
      <c r="H1342" s="27"/>
      <c r="K1342"/>
      <c r="P1342" s="27"/>
      <c r="Q1342" s="27"/>
      <c r="R1342" s="27"/>
    </row>
    <row r="1343" spans="1:18">
      <c r="A1343" s="28"/>
      <c r="B1343" s="29"/>
      <c r="C1343" s="29"/>
      <c r="D1343" s="29"/>
      <c r="E1343" s="29"/>
      <c r="H1343" s="27"/>
      <c r="K1343"/>
      <c r="P1343" s="27"/>
      <c r="Q1343" s="27"/>
      <c r="R1343" s="27"/>
    </row>
    <row r="1344" spans="1:18">
      <c r="A1344" s="28"/>
      <c r="B1344" s="29"/>
      <c r="C1344" s="29"/>
      <c r="D1344" s="29"/>
      <c r="E1344" s="29"/>
      <c r="H1344" s="27"/>
      <c r="K1344"/>
      <c r="P1344" s="27"/>
      <c r="Q1344" s="27"/>
      <c r="R1344" s="27"/>
    </row>
    <row r="1345" spans="1:18">
      <c r="A1345" s="28"/>
      <c r="B1345" s="29"/>
      <c r="C1345" s="29"/>
      <c r="D1345" s="29"/>
      <c r="E1345" s="29"/>
      <c r="H1345" s="27"/>
      <c r="K1345"/>
      <c r="P1345" s="27"/>
      <c r="Q1345" s="27"/>
      <c r="R1345" s="27"/>
    </row>
    <row r="1346" spans="1:18">
      <c r="A1346" s="28"/>
      <c r="B1346" s="29"/>
      <c r="C1346" s="29"/>
      <c r="D1346" s="29"/>
      <c r="E1346" s="29"/>
      <c r="H1346" s="27"/>
      <c r="K1346"/>
      <c r="P1346" s="27"/>
      <c r="Q1346" s="27"/>
      <c r="R1346" s="27"/>
    </row>
    <row r="1347" spans="1:18">
      <c r="A1347" s="28"/>
      <c r="B1347" s="29"/>
      <c r="C1347" s="29"/>
      <c r="D1347" s="29"/>
      <c r="E1347" s="29"/>
      <c r="H1347" s="27"/>
      <c r="K1347"/>
      <c r="P1347" s="27"/>
      <c r="Q1347" s="27"/>
      <c r="R1347" s="27"/>
    </row>
    <row r="1348" spans="1:18">
      <c r="A1348" s="28"/>
      <c r="B1348" s="29"/>
      <c r="C1348" s="29"/>
      <c r="D1348" s="29"/>
      <c r="E1348" s="29"/>
      <c r="H1348" s="27"/>
      <c r="K1348"/>
      <c r="P1348" s="27"/>
      <c r="Q1348" s="27"/>
      <c r="R1348" s="27"/>
    </row>
    <row r="1349" spans="1:18">
      <c r="A1349" s="28"/>
      <c r="B1349" s="29"/>
      <c r="C1349" s="29"/>
      <c r="D1349" s="29"/>
      <c r="E1349" s="29"/>
      <c r="H1349" s="27"/>
      <c r="K1349"/>
      <c r="P1349" s="27"/>
      <c r="Q1349" s="27"/>
      <c r="R1349" s="27"/>
    </row>
    <row r="1350" spans="1:18">
      <c r="A1350" s="28"/>
      <c r="B1350" s="29"/>
      <c r="C1350" s="29"/>
      <c r="D1350" s="29"/>
      <c r="E1350" s="29"/>
      <c r="H1350" s="27"/>
      <c r="K1350"/>
      <c r="P1350" s="27"/>
      <c r="Q1350" s="27"/>
      <c r="R1350" s="27"/>
    </row>
    <row r="1351" spans="1:18">
      <c r="A1351" s="28"/>
      <c r="B1351" s="29"/>
      <c r="C1351" s="29"/>
      <c r="D1351" s="29"/>
      <c r="E1351" s="29"/>
      <c r="H1351" s="27"/>
      <c r="K1351"/>
      <c r="P1351" s="27"/>
      <c r="Q1351" s="27"/>
      <c r="R1351" s="27"/>
    </row>
    <row r="1352" spans="1:18">
      <c r="A1352" s="28"/>
      <c r="B1352" s="29"/>
      <c r="C1352" s="29"/>
      <c r="D1352" s="29"/>
      <c r="E1352" s="29"/>
      <c r="H1352" s="27"/>
      <c r="K1352"/>
      <c r="P1352" s="27"/>
      <c r="Q1352" s="27"/>
      <c r="R1352" s="27"/>
    </row>
    <row r="1353" spans="1:18">
      <c r="A1353" s="28"/>
      <c r="B1353" s="29"/>
      <c r="C1353" s="29"/>
      <c r="D1353" s="29"/>
      <c r="E1353" s="29"/>
      <c r="H1353" s="27"/>
      <c r="K1353"/>
      <c r="P1353" s="27"/>
      <c r="Q1353" s="27"/>
      <c r="R1353" s="27"/>
    </row>
    <row r="1354" spans="1:18">
      <c r="A1354" s="28"/>
      <c r="B1354" s="29"/>
      <c r="C1354" s="29"/>
      <c r="D1354" s="29"/>
      <c r="E1354" s="29"/>
      <c r="H1354" s="27"/>
      <c r="K1354"/>
      <c r="P1354" s="27"/>
      <c r="Q1354" s="27"/>
      <c r="R1354" s="27"/>
    </row>
    <row r="1355" spans="1:18">
      <c r="A1355" s="28"/>
      <c r="B1355" s="29"/>
      <c r="C1355" s="29"/>
      <c r="D1355" s="29"/>
      <c r="E1355" s="29"/>
      <c r="H1355" s="27"/>
      <c r="K1355"/>
      <c r="P1355" s="27"/>
      <c r="Q1355" s="27"/>
      <c r="R1355" s="27"/>
    </row>
    <row r="1356" spans="1:18">
      <c r="A1356" s="28"/>
      <c r="B1356" s="29"/>
      <c r="C1356" s="29"/>
      <c r="D1356" s="29"/>
      <c r="E1356" s="29"/>
      <c r="H1356" s="27"/>
      <c r="K1356"/>
      <c r="P1356" s="27"/>
      <c r="Q1356" s="27"/>
      <c r="R1356" s="27"/>
    </row>
    <row r="1357" spans="1:18">
      <c r="A1357" s="28"/>
      <c r="B1357" s="29"/>
      <c r="C1357" s="29"/>
      <c r="D1357" s="29"/>
      <c r="E1357" s="29"/>
      <c r="H1357" s="27"/>
      <c r="K1357"/>
      <c r="P1357" s="27"/>
      <c r="Q1357" s="27"/>
      <c r="R1357" s="27"/>
    </row>
    <row r="1358" spans="1:18">
      <c r="A1358" s="28"/>
      <c r="B1358" s="29"/>
      <c r="C1358" s="29"/>
      <c r="D1358" s="29"/>
      <c r="E1358" s="29"/>
      <c r="H1358" s="27"/>
      <c r="K1358"/>
      <c r="P1358" s="27"/>
      <c r="Q1358" s="27"/>
      <c r="R1358" s="27"/>
    </row>
    <row r="1359" spans="1:18">
      <c r="A1359" s="28"/>
      <c r="B1359" s="29"/>
      <c r="C1359" s="29"/>
      <c r="D1359" s="29"/>
      <c r="E1359" s="29"/>
      <c r="H1359" s="27"/>
      <c r="K1359"/>
      <c r="P1359" s="27"/>
      <c r="Q1359" s="27"/>
      <c r="R1359" s="27"/>
    </row>
    <row r="1360" spans="1:18">
      <c r="A1360" s="28"/>
      <c r="B1360" s="29"/>
      <c r="C1360" s="29"/>
      <c r="D1360" s="29"/>
      <c r="E1360" s="29"/>
      <c r="H1360" s="27"/>
      <c r="K1360"/>
      <c r="P1360" s="27"/>
      <c r="Q1360" s="27"/>
      <c r="R1360" s="27"/>
    </row>
    <row r="1361" spans="1:18">
      <c r="A1361" s="28"/>
      <c r="B1361" s="29"/>
      <c r="C1361" s="29"/>
      <c r="D1361" s="29"/>
      <c r="E1361" s="29"/>
      <c r="H1361" s="27"/>
      <c r="K1361"/>
      <c r="P1361" s="27"/>
      <c r="Q1361" s="27"/>
      <c r="R1361" s="27"/>
    </row>
    <row r="1362" spans="1:18">
      <c r="A1362" s="28"/>
      <c r="B1362" s="29"/>
      <c r="C1362" s="29"/>
      <c r="D1362" s="29"/>
      <c r="E1362" s="29"/>
      <c r="H1362" s="27"/>
      <c r="K1362"/>
      <c r="P1362" s="27"/>
      <c r="Q1362" s="27"/>
      <c r="R1362" s="27"/>
    </row>
    <row r="1363" spans="1:18">
      <c r="A1363" s="28"/>
      <c r="B1363" s="29"/>
      <c r="C1363" s="29"/>
      <c r="D1363" s="29"/>
      <c r="E1363" s="29"/>
      <c r="H1363" s="27"/>
      <c r="K1363"/>
      <c r="P1363" s="27"/>
      <c r="Q1363" s="27"/>
      <c r="R1363" s="27"/>
    </row>
    <row r="1364" spans="1:18">
      <c r="A1364" s="28"/>
      <c r="B1364" s="29"/>
      <c r="C1364" s="29"/>
      <c r="D1364" s="29"/>
      <c r="E1364" s="29"/>
      <c r="H1364" s="27"/>
      <c r="K1364"/>
      <c r="P1364" s="27"/>
      <c r="Q1364" s="27"/>
      <c r="R1364" s="27"/>
    </row>
    <row r="1365" spans="1:18">
      <c r="A1365" s="28"/>
      <c r="B1365" s="29"/>
      <c r="C1365" s="29"/>
      <c r="D1365" s="29"/>
      <c r="E1365" s="29"/>
      <c r="H1365" s="27"/>
      <c r="K1365"/>
      <c r="P1365" s="27"/>
      <c r="Q1365" s="27"/>
      <c r="R1365" s="27"/>
    </row>
    <row r="1366" spans="1:18">
      <c r="A1366" s="28"/>
      <c r="B1366" s="29"/>
      <c r="C1366" s="29"/>
      <c r="D1366" s="29"/>
      <c r="E1366" s="29"/>
      <c r="H1366" s="27"/>
      <c r="K1366"/>
      <c r="P1366" s="27"/>
      <c r="Q1366" s="27"/>
      <c r="R1366" s="27"/>
    </row>
    <row r="1367" spans="1:18">
      <c r="A1367" s="28"/>
      <c r="B1367" s="29"/>
      <c r="C1367" s="29"/>
      <c r="D1367" s="29"/>
      <c r="E1367" s="29"/>
      <c r="H1367" s="27"/>
      <c r="K1367"/>
      <c r="P1367" s="27"/>
      <c r="Q1367" s="27"/>
      <c r="R1367" s="27"/>
    </row>
    <row r="1368" spans="1:18">
      <c r="A1368" s="28"/>
      <c r="B1368" s="29"/>
      <c r="C1368" s="29"/>
      <c r="D1368" s="29"/>
      <c r="E1368" s="29"/>
      <c r="H1368" s="27"/>
      <c r="K1368"/>
      <c r="P1368" s="27"/>
      <c r="Q1368" s="27"/>
      <c r="R1368" s="27"/>
    </row>
    <row r="1369" spans="1:18">
      <c r="A1369" s="28"/>
      <c r="B1369" s="29"/>
      <c r="C1369" s="29"/>
      <c r="D1369" s="29"/>
      <c r="E1369" s="29"/>
      <c r="H1369" s="27"/>
      <c r="K1369"/>
      <c r="P1369" s="27"/>
      <c r="Q1369" s="27"/>
      <c r="R1369" s="27"/>
    </row>
    <row r="1370" spans="1:18">
      <c r="A1370" s="28"/>
      <c r="B1370" s="29"/>
      <c r="C1370" s="29"/>
      <c r="D1370" s="29"/>
      <c r="E1370" s="29"/>
      <c r="H1370" s="27"/>
      <c r="K1370"/>
      <c r="P1370" s="27"/>
      <c r="Q1370" s="27"/>
      <c r="R1370" s="27"/>
    </row>
    <row r="1371" spans="1:18">
      <c r="A1371" s="28"/>
      <c r="B1371" s="29"/>
      <c r="C1371" s="29"/>
      <c r="D1371" s="29"/>
      <c r="E1371" s="29"/>
      <c r="H1371" s="27"/>
      <c r="K1371"/>
      <c r="P1371" s="27"/>
      <c r="Q1371" s="27"/>
      <c r="R1371" s="27"/>
    </row>
    <row r="1372" spans="1:18">
      <c r="A1372" s="28"/>
      <c r="B1372" s="29"/>
      <c r="C1372" s="29"/>
      <c r="D1372" s="29"/>
      <c r="E1372" s="29"/>
      <c r="H1372" s="27"/>
      <c r="K1372"/>
      <c r="P1372" s="27"/>
      <c r="Q1372" s="27"/>
      <c r="R1372" s="27"/>
    </row>
    <row r="1373" spans="1:18">
      <c r="A1373" s="28"/>
      <c r="B1373" s="29"/>
      <c r="C1373" s="29"/>
      <c r="D1373" s="29"/>
      <c r="E1373" s="29"/>
      <c r="H1373" s="27"/>
      <c r="K1373"/>
      <c r="P1373" s="27"/>
      <c r="Q1373" s="27"/>
      <c r="R1373" s="27"/>
    </row>
    <row r="1374" spans="1:18">
      <c r="A1374" s="28"/>
      <c r="B1374" s="29"/>
      <c r="C1374" s="29"/>
      <c r="D1374" s="29"/>
      <c r="E1374" s="29"/>
      <c r="H1374" s="27"/>
      <c r="K1374"/>
      <c r="P1374" s="27"/>
      <c r="Q1374" s="27"/>
      <c r="R1374" s="27"/>
    </row>
    <row r="1375" spans="1:18">
      <c r="A1375" s="28"/>
      <c r="B1375" s="29"/>
      <c r="C1375" s="29"/>
      <c r="D1375" s="29"/>
      <c r="E1375" s="29"/>
      <c r="H1375" s="27"/>
      <c r="K1375"/>
      <c r="P1375" s="27"/>
      <c r="Q1375" s="27"/>
      <c r="R1375" s="27"/>
    </row>
    <row r="1376" spans="1:18">
      <c r="A1376" s="28"/>
      <c r="B1376" s="29"/>
      <c r="C1376" s="29"/>
      <c r="D1376" s="29"/>
      <c r="E1376" s="29"/>
      <c r="H1376" s="27"/>
      <c r="K1376"/>
      <c r="P1376" s="27"/>
      <c r="Q1376" s="27"/>
      <c r="R1376" s="27"/>
    </row>
    <row r="1377" spans="1:18">
      <c r="A1377" s="28"/>
      <c r="B1377" s="29"/>
      <c r="C1377" s="29"/>
      <c r="D1377" s="29"/>
      <c r="E1377" s="29"/>
      <c r="H1377" s="27"/>
      <c r="K1377"/>
      <c r="P1377" s="27"/>
      <c r="Q1377" s="27"/>
      <c r="R1377" s="27"/>
    </row>
    <row r="1378" spans="1:18">
      <c r="A1378" s="28"/>
      <c r="B1378" s="29"/>
      <c r="C1378" s="29"/>
      <c r="D1378" s="29"/>
      <c r="E1378" s="29"/>
      <c r="H1378" s="27"/>
      <c r="K1378"/>
      <c r="P1378" s="27"/>
      <c r="Q1378" s="27"/>
      <c r="R1378" s="27"/>
    </row>
    <row r="1379" spans="1:18">
      <c r="A1379" s="28"/>
      <c r="B1379" s="29"/>
      <c r="C1379" s="29"/>
      <c r="D1379" s="29"/>
      <c r="E1379" s="29"/>
      <c r="H1379" s="27"/>
      <c r="K1379"/>
      <c r="P1379" s="27"/>
      <c r="Q1379" s="27"/>
      <c r="R1379" s="27"/>
    </row>
    <row r="1380" spans="1:18">
      <c r="A1380" s="28"/>
      <c r="B1380" s="29"/>
      <c r="C1380" s="29"/>
      <c r="D1380" s="29"/>
      <c r="E1380" s="29"/>
      <c r="H1380" s="27"/>
      <c r="K1380"/>
      <c r="P1380" s="27"/>
      <c r="Q1380" s="27"/>
      <c r="R1380" s="27"/>
    </row>
    <row r="1381" spans="1:18">
      <c r="A1381" s="28"/>
      <c r="B1381" s="29"/>
      <c r="C1381" s="29"/>
      <c r="D1381" s="29"/>
      <c r="E1381" s="29"/>
      <c r="H1381" s="27"/>
      <c r="K1381"/>
      <c r="P1381" s="27"/>
      <c r="Q1381" s="27"/>
      <c r="R1381" s="27"/>
    </row>
    <row r="1382" spans="1:18">
      <c r="A1382" s="28"/>
      <c r="B1382" s="29"/>
      <c r="C1382" s="29"/>
      <c r="D1382" s="29"/>
      <c r="E1382" s="29"/>
      <c r="H1382" s="27"/>
      <c r="K1382"/>
      <c r="P1382" s="27"/>
      <c r="Q1382" s="27"/>
      <c r="R1382" s="27"/>
    </row>
    <row r="1383" spans="1:18">
      <c r="A1383" s="28"/>
      <c r="B1383" s="29"/>
      <c r="C1383" s="29"/>
      <c r="D1383" s="29"/>
      <c r="E1383" s="29"/>
      <c r="H1383" s="27"/>
      <c r="K1383"/>
      <c r="P1383" s="27"/>
      <c r="Q1383" s="27"/>
      <c r="R1383" s="27"/>
    </row>
    <row r="1384" spans="1:18">
      <c r="A1384" s="28"/>
      <c r="B1384" s="29"/>
      <c r="C1384" s="29"/>
      <c r="D1384" s="29"/>
      <c r="E1384" s="29"/>
      <c r="H1384" s="27"/>
      <c r="K1384"/>
      <c r="P1384" s="27"/>
      <c r="Q1384" s="27"/>
      <c r="R1384" s="27"/>
    </row>
    <row r="1385" spans="1:18">
      <c r="A1385" s="28"/>
      <c r="B1385" s="29"/>
      <c r="C1385" s="29"/>
      <c r="D1385" s="29"/>
      <c r="E1385" s="29"/>
      <c r="H1385" s="27"/>
      <c r="K1385"/>
      <c r="P1385" s="27"/>
      <c r="Q1385" s="27"/>
      <c r="R1385" s="27"/>
    </row>
    <row r="1386" spans="1:18">
      <c r="A1386" s="28"/>
      <c r="B1386" s="29"/>
      <c r="C1386" s="29"/>
      <c r="D1386" s="29"/>
      <c r="E1386" s="29"/>
      <c r="H1386" s="27"/>
      <c r="K1386"/>
      <c r="P1386" s="27"/>
      <c r="Q1386" s="27"/>
      <c r="R1386" s="27"/>
    </row>
    <row r="1387" spans="1:18">
      <c r="A1387" s="28"/>
      <c r="B1387" s="29"/>
      <c r="C1387" s="29"/>
      <c r="D1387" s="29"/>
      <c r="E1387" s="29"/>
      <c r="H1387" s="27"/>
      <c r="K1387"/>
      <c r="P1387" s="27"/>
      <c r="Q1387" s="27"/>
      <c r="R1387" s="27"/>
    </row>
    <row r="1388" spans="1:18">
      <c r="A1388" s="28"/>
      <c r="B1388" s="29"/>
      <c r="C1388" s="29"/>
      <c r="D1388" s="29"/>
      <c r="E1388" s="29"/>
      <c r="H1388" s="27"/>
      <c r="K1388"/>
      <c r="P1388" s="27"/>
      <c r="Q1388" s="27"/>
      <c r="R1388" s="27"/>
    </row>
    <row r="1389" spans="1:18">
      <c r="A1389" s="28"/>
      <c r="B1389" s="29"/>
      <c r="C1389" s="29"/>
      <c r="D1389" s="29"/>
      <c r="E1389" s="29"/>
      <c r="H1389" s="27"/>
      <c r="K1389"/>
      <c r="P1389" s="27"/>
      <c r="Q1389" s="27"/>
      <c r="R1389" s="27"/>
    </row>
    <row r="1390" spans="1:18">
      <c r="A1390" s="28"/>
      <c r="B1390" s="29"/>
      <c r="C1390" s="29"/>
      <c r="D1390" s="29"/>
      <c r="E1390" s="29"/>
      <c r="H1390" s="27"/>
      <c r="K1390"/>
      <c r="P1390" s="27"/>
      <c r="Q1390" s="27"/>
      <c r="R1390" s="27"/>
    </row>
    <row r="1391" spans="1:18">
      <c r="A1391" s="28"/>
      <c r="B1391" s="29"/>
      <c r="C1391" s="29"/>
      <c r="D1391" s="29"/>
      <c r="E1391" s="29"/>
      <c r="H1391" s="27"/>
      <c r="K1391"/>
      <c r="P1391" s="27"/>
      <c r="Q1391" s="27"/>
      <c r="R1391" s="27"/>
    </row>
    <row r="1392" spans="1:18">
      <c r="A1392" s="28"/>
      <c r="B1392" s="29"/>
      <c r="C1392" s="29"/>
      <c r="D1392" s="29"/>
      <c r="E1392" s="29"/>
      <c r="H1392" s="27"/>
      <c r="K1392"/>
      <c r="P1392" s="27"/>
      <c r="Q1392" s="27"/>
      <c r="R1392" s="27"/>
    </row>
    <row r="1393" spans="1:18">
      <c r="A1393" s="28"/>
      <c r="B1393" s="29"/>
      <c r="C1393" s="29"/>
      <c r="D1393" s="29"/>
      <c r="E1393" s="29"/>
      <c r="H1393" s="27"/>
      <c r="K1393"/>
      <c r="P1393" s="27"/>
      <c r="Q1393" s="27"/>
      <c r="R1393" s="27"/>
    </row>
    <row r="1394" spans="1:18">
      <c r="A1394" s="28"/>
      <c r="B1394" s="29"/>
      <c r="C1394" s="29"/>
      <c r="D1394" s="29"/>
      <c r="E1394" s="29"/>
      <c r="H1394" s="27"/>
      <c r="K1394"/>
      <c r="P1394" s="27"/>
      <c r="Q1394" s="27"/>
      <c r="R1394" s="27"/>
    </row>
    <row r="1395" spans="1:18">
      <c r="A1395" s="28"/>
      <c r="B1395" s="29"/>
      <c r="C1395" s="29"/>
      <c r="D1395" s="29"/>
      <c r="E1395" s="29"/>
      <c r="H1395" s="27"/>
      <c r="K1395"/>
      <c r="P1395" s="27"/>
      <c r="Q1395" s="27"/>
      <c r="R1395" s="27"/>
    </row>
    <row r="1396" spans="1:18">
      <c r="A1396" s="28"/>
      <c r="B1396" s="29"/>
      <c r="C1396" s="29"/>
      <c r="D1396" s="29"/>
      <c r="E1396" s="29"/>
      <c r="H1396" s="27"/>
      <c r="K1396"/>
      <c r="P1396" s="27"/>
      <c r="Q1396" s="27"/>
      <c r="R1396" s="27"/>
    </row>
    <row r="1397" spans="1:18">
      <c r="A1397" s="28"/>
      <c r="B1397" s="29"/>
      <c r="C1397" s="29"/>
      <c r="D1397" s="29"/>
      <c r="E1397" s="29"/>
      <c r="H1397" s="27"/>
      <c r="K1397"/>
      <c r="P1397" s="27"/>
      <c r="Q1397" s="27"/>
      <c r="R1397" s="27"/>
    </row>
    <row r="1398" spans="1:18">
      <c r="A1398" s="28"/>
      <c r="B1398" s="29"/>
      <c r="C1398" s="29"/>
      <c r="D1398" s="29"/>
      <c r="E1398" s="29"/>
      <c r="H1398" s="27"/>
      <c r="K1398"/>
      <c r="P1398" s="27"/>
      <c r="Q1398" s="27"/>
      <c r="R1398" s="27"/>
    </row>
    <row r="1399" spans="1:18">
      <c r="A1399" s="28"/>
      <c r="B1399" s="29"/>
      <c r="C1399" s="29"/>
      <c r="D1399" s="29"/>
      <c r="E1399" s="29"/>
      <c r="H1399" s="27"/>
      <c r="K1399"/>
      <c r="P1399" s="27"/>
      <c r="Q1399" s="27"/>
      <c r="R1399" s="27"/>
    </row>
    <row r="1400" spans="1:18">
      <c r="A1400" s="28"/>
      <c r="B1400" s="29"/>
      <c r="C1400" s="29"/>
      <c r="D1400" s="29"/>
      <c r="E1400" s="29"/>
      <c r="H1400" s="27"/>
      <c r="K1400"/>
      <c r="P1400" s="27"/>
      <c r="Q1400" s="27"/>
      <c r="R1400" s="27"/>
    </row>
    <row r="1401" spans="1:18">
      <c r="A1401" s="28"/>
      <c r="B1401" s="29"/>
      <c r="C1401" s="29"/>
      <c r="D1401" s="29"/>
      <c r="E1401" s="29"/>
      <c r="H1401" s="27"/>
      <c r="K1401"/>
      <c r="P1401" s="27"/>
      <c r="Q1401" s="27"/>
      <c r="R1401" s="27"/>
    </row>
    <row r="1402" spans="1:18">
      <c r="A1402" s="28"/>
      <c r="B1402" s="29"/>
      <c r="C1402" s="29"/>
      <c r="D1402" s="29"/>
      <c r="E1402" s="29"/>
      <c r="H1402" s="27"/>
      <c r="K1402"/>
      <c r="P1402" s="27"/>
      <c r="Q1402" s="27"/>
      <c r="R1402" s="27"/>
    </row>
    <row r="1403" spans="1:18">
      <c r="A1403" s="28"/>
      <c r="B1403" s="29"/>
      <c r="C1403" s="29"/>
      <c r="D1403" s="29"/>
      <c r="E1403" s="29"/>
      <c r="H1403" s="27"/>
      <c r="K1403"/>
      <c r="P1403" s="27"/>
      <c r="Q1403" s="27"/>
      <c r="R1403" s="27"/>
    </row>
    <row r="1404" spans="1:18">
      <c r="A1404" s="28"/>
      <c r="B1404" s="29"/>
      <c r="C1404" s="29"/>
      <c r="D1404" s="29"/>
      <c r="E1404" s="29"/>
      <c r="H1404" s="27"/>
      <c r="K1404"/>
      <c r="P1404" s="27"/>
      <c r="Q1404" s="27"/>
      <c r="R1404" s="27"/>
    </row>
    <row r="1405" spans="1:18">
      <c r="A1405" s="28"/>
      <c r="B1405" s="29"/>
      <c r="C1405" s="29"/>
      <c r="D1405" s="29"/>
      <c r="E1405" s="29"/>
      <c r="H1405" s="27"/>
      <c r="K1405"/>
      <c r="P1405" s="27"/>
      <c r="Q1405" s="27"/>
      <c r="R1405" s="27"/>
    </row>
    <row r="1406" spans="1:18">
      <c r="A1406" s="28"/>
      <c r="B1406" s="29"/>
      <c r="C1406" s="29"/>
      <c r="D1406" s="29"/>
      <c r="E1406" s="29"/>
      <c r="H1406" s="27"/>
      <c r="K1406"/>
      <c r="P1406" s="27"/>
      <c r="Q1406" s="27"/>
      <c r="R1406" s="27"/>
    </row>
    <row r="1407" spans="1:18">
      <c r="A1407" s="28"/>
      <c r="B1407" s="29"/>
      <c r="C1407" s="29"/>
      <c r="D1407" s="29"/>
      <c r="E1407" s="29"/>
      <c r="H1407" s="27"/>
      <c r="K1407"/>
      <c r="P1407" s="27"/>
      <c r="Q1407" s="27"/>
      <c r="R1407" s="27"/>
    </row>
    <row r="1408" spans="1:18">
      <c r="A1408" s="28"/>
      <c r="B1408" s="29"/>
      <c r="C1408" s="29"/>
      <c r="D1408" s="29"/>
      <c r="E1408" s="29"/>
      <c r="H1408" s="27"/>
      <c r="K1408"/>
      <c r="P1408" s="27"/>
      <c r="Q1408" s="27"/>
      <c r="R1408" s="27"/>
    </row>
    <row r="1409" spans="1:18">
      <c r="A1409" s="28"/>
      <c r="B1409" s="29"/>
      <c r="C1409" s="29"/>
      <c r="D1409" s="29"/>
      <c r="E1409" s="29"/>
      <c r="H1409" s="27"/>
      <c r="K1409"/>
      <c r="P1409" s="27"/>
      <c r="Q1409" s="27"/>
      <c r="R1409" s="27"/>
    </row>
    <row r="1410" spans="1:18">
      <c r="A1410" s="28"/>
      <c r="B1410" s="29"/>
      <c r="C1410" s="29"/>
      <c r="D1410" s="29"/>
      <c r="E1410" s="29"/>
      <c r="H1410" s="27"/>
      <c r="K1410"/>
      <c r="P1410" s="27"/>
      <c r="Q1410" s="27"/>
      <c r="R1410" s="27"/>
    </row>
    <row r="1411" spans="1:18">
      <c r="A1411" s="28"/>
      <c r="B1411" s="29"/>
      <c r="C1411" s="29"/>
      <c r="D1411" s="29"/>
      <c r="E1411" s="29"/>
      <c r="H1411" s="27"/>
      <c r="K1411"/>
      <c r="P1411" s="27"/>
      <c r="Q1411" s="27"/>
      <c r="R1411" s="27"/>
    </row>
    <row r="1412" spans="1:18">
      <c r="A1412" s="28"/>
      <c r="B1412" s="29"/>
      <c r="C1412" s="29"/>
      <c r="D1412" s="29"/>
      <c r="E1412" s="29"/>
      <c r="H1412" s="27"/>
      <c r="K1412"/>
      <c r="P1412" s="27"/>
      <c r="Q1412" s="27"/>
      <c r="R1412" s="27"/>
    </row>
    <row r="1413" spans="1:18">
      <c r="A1413" s="28"/>
      <c r="B1413" s="29"/>
      <c r="C1413" s="29"/>
      <c r="D1413" s="29"/>
      <c r="E1413" s="29"/>
      <c r="H1413" s="27"/>
      <c r="K1413"/>
      <c r="P1413" s="27"/>
      <c r="Q1413" s="27"/>
      <c r="R1413" s="27"/>
    </row>
    <row r="1414" spans="1:18">
      <c r="A1414" s="28"/>
      <c r="B1414" s="29"/>
      <c r="C1414" s="29"/>
      <c r="D1414" s="29"/>
      <c r="E1414" s="29"/>
      <c r="H1414" s="27"/>
      <c r="K1414"/>
      <c r="P1414" s="27"/>
      <c r="Q1414" s="27"/>
      <c r="R1414" s="27"/>
    </row>
    <row r="1415" spans="1:18">
      <c r="A1415" s="28"/>
      <c r="B1415" s="29"/>
      <c r="C1415" s="29"/>
      <c r="D1415" s="29"/>
      <c r="E1415" s="29"/>
      <c r="H1415" s="27"/>
      <c r="K1415"/>
      <c r="P1415" s="27"/>
      <c r="Q1415" s="27"/>
      <c r="R1415" s="27"/>
    </row>
    <row r="1416" spans="1:18">
      <c r="A1416" s="28"/>
      <c r="B1416" s="29"/>
      <c r="C1416" s="29"/>
      <c r="D1416" s="29"/>
      <c r="E1416" s="29"/>
      <c r="H1416" s="27"/>
      <c r="K1416"/>
      <c r="P1416" s="27"/>
      <c r="Q1416" s="27"/>
      <c r="R1416" s="27"/>
    </row>
    <row r="1417" spans="1:18">
      <c r="A1417" s="28"/>
      <c r="B1417" s="29"/>
      <c r="C1417" s="29"/>
      <c r="D1417" s="29"/>
      <c r="E1417" s="29"/>
      <c r="H1417" s="27"/>
      <c r="K1417"/>
      <c r="P1417" s="27"/>
      <c r="Q1417" s="27"/>
      <c r="R1417" s="27"/>
    </row>
    <row r="1418" spans="1:18">
      <c r="A1418" s="28"/>
      <c r="B1418" s="29"/>
      <c r="C1418" s="29"/>
      <c r="D1418" s="29"/>
      <c r="E1418" s="29"/>
      <c r="H1418" s="27"/>
      <c r="K1418"/>
      <c r="P1418" s="27"/>
      <c r="Q1418" s="27"/>
      <c r="R1418" s="27"/>
    </row>
    <row r="1419" spans="1:18">
      <c r="A1419" s="28"/>
      <c r="B1419" s="29"/>
      <c r="C1419" s="29"/>
      <c r="D1419" s="29"/>
      <c r="E1419" s="29"/>
      <c r="H1419" s="27"/>
      <c r="K1419"/>
      <c r="P1419" s="27"/>
      <c r="Q1419" s="27"/>
      <c r="R1419" s="27"/>
    </row>
    <row r="1420" spans="1:18">
      <c r="A1420" s="28"/>
      <c r="B1420" s="29"/>
      <c r="C1420" s="29"/>
      <c r="D1420" s="29"/>
      <c r="E1420" s="29"/>
      <c r="H1420" s="27"/>
      <c r="K1420"/>
      <c r="P1420" s="27"/>
      <c r="Q1420" s="27"/>
      <c r="R1420" s="27"/>
    </row>
    <row r="1421" spans="1:18">
      <c r="A1421" s="28"/>
      <c r="B1421" s="29"/>
      <c r="C1421" s="29"/>
      <c r="D1421" s="29"/>
      <c r="E1421" s="29"/>
      <c r="H1421" s="27"/>
      <c r="K1421"/>
      <c r="P1421" s="27"/>
      <c r="Q1421" s="27"/>
      <c r="R1421" s="27"/>
    </row>
    <row r="1422" spans="1:18">
      <c r="A1422" s="28"/>
      <c r="B1422" s="29"/>
      <c r="C1422" s="29"/>
      <c r="D1422" s="29"/>
      <c r="E1422" s="29"/>
      <c r="H1422" s="27"/>
      <c r="K1422"/>
      <c r="P1422" s="27"/>
      <c r="Q1422" s="27"/>
      <c r="R1422" s="27"/>
    </row>
    <row r="1423" spans="1:18">
      <c r="A1423" s="28"/>
      <c r="B1423" s="29"/>
      <c r="C1423" s="29"/>
      <c r="D1423" s="29"/>
      <c r="E1423" s="29"/>
      <c r="H1423" s="27"/>
      <c r="K1423"/>
      <c r="P1423" s="27"/>
      <c r="Q1423" s="27"/>
      <c r="R1423" s="27"/>
    </row>
    <row r="1424" spans="1:18">
      <c r="A1424" s="28"/>
      <c r="B1424" s="29"/>
      <c r="C1424" s="29"/>
      <c r="D1424" s="29"/>
      <c r="E1424" s="29"/>
      <c r="H1424" s="27"/>
      <c r="K1424"/>
      <c r="P1424" s="27"/>
      <c r="Q1424" s="27"/>
      <c r="R1424" s="27"/>
    </row>
    <row r="1425" spans="1:18">
      <c r="A1425" s="28"/>
      <c r="B1425" s="29"/>
      <c r="C1425" s="29"/>
      <c r="D1425" s="29"/>
      <c r="E1425" s="29"/>
      <c r="H1425" s="27"/>
      <c r="K1425"/>
      <c r="P1425" s="27"/>
      <c r="Q1425" s="27"/>
      <c r="R1425" s="27"/>
    </row>
    <row r="1426" spans="1:18">
      <c r="A1426" s="28"/>
      <c r="B1426" s="29"/>
      <c r="C1426" s="29"/>
      <c r="D1426" s="29"/>
      <c r="E1426" s="29"/>
      <c r="H1426" s="27"/>
      <c r="K1426"/>
      <c r="P1426" s="27"/>
      <c r="Q1426" s="27"/>
      <c r="R1426" s="27"/>
    </row>
    <row r="1427" spans="1:18">
      <c r="A1427" s="28"/>
      <c r="B1427" s="29"/>
      <c r="C1427" s="29"/>
      <c r="D1427" s="29"/>
      <c r="E1427" s="29"/>
      <c r="H1427" s="27"/>
      <c r="K1427"/>
      <c r="P1427" s="27"/>
      <c r="Q1427" s="27"/>
      <c r="R1427" s="27"/>
    </row>
    <row r="1428" spans="1:18">
      <c r="A1428" s="28"/>
      <c r="B1428" s="29"/>
      <c r="C1428" s="29"/>
      <c r="D1428" s="29"/>
      <c r="E1428" s="29"/>
      <c r="H1428" s="27"/>
      <c r="K1428"/>
      <c r="P1428" s="27"/>
      <c r="Q1428" s="27"/>
      <c r="R1428" s="27"/>
    </row>
    <row r="1429" spans="1:18">
      <c r="A1429" s="28"/>
      <c r="B1429" s="29"/>
      <c r="C1429" s="29"/>
      <c r="D1429" s="29"/>
      <c r="E1429" s="29"/>
      <c r="H1429" s="27"/>
      <c r="K1429"/>
      <c r="P1429" s="27"/>
      <c r="Q1429" s="27"/>
      <c r="R1429" s="27"/>
    </row>
    <row r="1430" spans="1:18">
      <c r="A1430" s="28"/>
      <c r="B1430" s="29"/>
      <c r="C1430" s="29"/>
      <c r="D1430" s="29"/>
      <c r="E1430" s="29"/>
      <c r="H1430" s="27"/>
      <c r="K1430"/>
      <c r="P1430" s="27"/>
      <c r="Q1430" s="27"/>
      <c r="R1430" s="27"/>
    </row>
    <row r="1431" spans="1:18">
      <c r="A1431" s="28"/>
      <c r="B1431" s="29"/>
      <c r="C1431" s="29"/>
      <c r="D1431" s="29"/>
      <c r="E1431" s="29"/>
      <c r="H1431" s="27"/>
      <c r="K1431"/>
      <c r="P1431" s="27"/>
      <c r="Q1431" s="27"/>
      <c r="R1431" s="27"/>
    </row>
    <row r="1432" spans="1:18">
      <c r="A1432" s="28"/>
      <c r="B1432" s="29"/>
      <c r="C1432" s="29"/>
      <c r="D1432" s="29"/>
      <c r="E1432" s="29"/>
      <c r="H1432" s="27"/>
      <c r="K1432"/>
      <c r="P1432" s="27"/>
      <c r="Q1432" s="27"/>
      <c r="R1432" s="27"/>
    </row>
    <row r="1433" spans="1:18">
      <c r="A1433" s="28"/>
      <c r="B1433" s="29"/>
      <c r="C1433" s="29"/>
      <c r="D1433" s="29"/>
      <c r="E1433" s="29"/>
      <c r="H1433" s="27"/>
      <c r="K1433"/>
      <c r="P1433" s="27"/>
      <c r="Q1433" s="27"/>
      <c r="R1433" s="27"/>
    </row>
    <row r="1434" spans="1:18">
      <c r="A1434" s="28"/>
      <c r="B1434" s="29"/>
      <c r="C1434" s="29"/>
      <c r="D1434" s="29"/>
      <c r="E1434" s="29"/>
      <c r="H1434" s="27"/>
      <c r="K1434"/>
      <c r="P1434" s="27"/>
      <c r="Q1434" s="27"/>
      <c r="R1434" s="27"/>
    </row>
    <row r="1435" spans="1:18">
      <c r="A1435" s="28"/>
      <c r="B1435" s="29"/>
      <c r="C1435" s="29"/>
      <c r="D1435" s="29"/>
      <c r="E1435" s="29"/>
      <c r="H1435" s="27"/>
      <c r="K1435"/>
      <c r="P1435" s="27"/>
      <c r="Q1435" s="27"/>
      <c r="R1435" s="27"/>
    </row>
    <row r="1436" spans="1:18">
      <c r="A1436" s="28"/>
      <c r="B1436" s="29"/>
      <c r="C1436" s="29"/>
      <c r="D1436" s="29"/>
      <c r="E1436" s="29"/>
      <c r="H1436" s="27"/>
      <c r="K1436"/>
      <c r="P1436" s="27"/>
      <c r="Q1436" s="27"/>
      <c r="R1436" s="27"/>
    </row>
    <row r="1437" spans="1:18">
      <c r="A1437" s="28"/>
      <c r="B1437" s="29"/>
      <c r="C1437" s="29"/>
      <c r="D1437" s="29"/>
      <c r="E1437" s="29"/>
      <c r="H1437" s="27"/>
      <c r="K1437"/>
      <c r="P1437" s="27"/>
      <c r="Q1437" s="27"/>
      <c r="R1437" s="27"/>
    </row>
    <row r="1438" spans="1:18">
      <c r="A1438" s="28"/>
      <c r="B1438" s="29"/>
      <c r="C1438" s="29"/>
      <c r="D1438" s="29"/>
      <c r="E1438" s="29"/>
      <c r="H1438" s="27"/>
      <c r="K1438"/>
      <c r="P1438" s="27"/>
      <c r="Q1438" s="27"/>
      <c r="R1438" s="27"/>
    </row>
    <row r="1439" spans="1:18">
      <c r="A1439" s="28"/>
      <c r="B1439" s="29"/>
      <c r="C1439" s="29"/>
      <c r="D1439" s="29"/>
      <c r="E1439" s="29"/>
      <c r="H1439" s="27"/>
      <c r="K1439"/>
      <c r="P1439" s="27"/>
      <c r="Q1439" s="27"/>
      <c r="R1439" s="27"/>
    </row>
    <row r="1440" spans="1:18">
      <c r="A1440" s="28"/>
      <c r="B1440" s="29"/>
      <c r="C1440" s="29"/>
      <c r="D1440" s="29"/>
      <c r="E1440" s="29"/>
      <c r="H1440" s="27"/>
      <c r="K1440"/>
      <c r="P1440" s="27"/>
      <c r="Q1440" s="27"/>
      <c r="R1440" s="27"/>
    </row>
    <row r="1441" spans="1:18">
      <c r="A1441" s="28"/>
      <c r="B1441" s="29"/>
      <c r="C1441" s="29"/>
      <c r="D1441" s="29"/>
      <c r="E1441" s="29"/>
      <c r="H1441" s="27"/>
      <c r="K1441"/>
      <c r="P1441" s="27"/>
      <c r="Q1441" s="27"/>
      <c r="R1441" s="27"/>
    </row>
    <row r="1442" spans="1:18">
      <c r="A1442" s="28"/>
      <c r="B1442" s="29"/>
      <c r="C1442" s="29"/>
      <c r="D1442" s="29"/>
      <c r="E1442" s="29"/>
      <c r="H1442" s="27"/>
      <c r="K1442"/>
      <c r="P1442" s="27"/>
      <c r="Q1442" s="27"/>
      <c r="R1442" s="27"/>
    </row>
    <row r="1443" spans="1:18">
      <c r="A1443" s="28"/>
      <c r="B1443" s="29"/>
      <c r="C1443" s="29"/>
      <c r="D1443" s="29"/>
      <c r="E1443" s="29"/>
      <c r="H1443" s="27"/>
      <c r="K1443"/>
      <c r="P1443" s="27"/>
      <c r="Q1443" s="27"/>
      <c r="R1443" s="27"/>
    </row>
    <row r="1444" spans="1:18">
      <c r="A1444" s="28"/>
      <c r="B1444" s="29"/>
      <c r="C1444" s="29"/>
      <c r="D1444" s="29"/>
      <c r="E1444" s="29"/>
      <c r="H1444" s="27"/>
      <c r="K1444"/>
      <c r="P1444" s="27"/>
      <c r="Q1444" s="27"/>
      <c r="R1444" s="27"/>
    </row>
    <row r="1445" spans="1:18">
      <c r="A1445" s="28"/>
      <c r="B1445" s="29"/>
      <c r="C1445" s="29"/>
      <c r="D1445" s="29"/>
      <c r="E1445" s="29"/>
      <c r="H1445" s="27"/>
      <c r="K1445"/>
      <c r="P1445" s="27"/>
      <c r="Q1445" s="27"/>
      <c r="R1445" s="27"/>
    </row>
    <row r="1446" spans="1:18">
      <c r="A1446" s="28"/>
      <c r="B1446" s="29"/>
      <c r="C1446" s="29"/>
      <c r="D1446" s="29"/>
      <c r="E1446" s="29"/>
      <c r="H1446" s="27"/>
      <c r="K1446"/>
      <c r="P1446" s="27"/>
      <c r="Q1446" s="27"/>
      <c r="R1446" s="27"/>
    </row>
    <row r="1447" spans="1:18">
      <c r="A1447" s="28"/>
      <c r="B1447" s="29"/>
      <c r="C1447" s="29"/>
      <c r="D1447" s="29"/>
      <c r="E1447" s="29"/>
      <c r="H1447" s="27"/>
      <c r="K1447"/>
      <c r="P1447" s="27"/>
      <c r="Q1447" s="27"/>
      <c r="R1447" s="27"/>
    </row>
    <row r="1448" spans="1:18">
      <c r="A1448" s="28"/>
      <c r="B1448" s="29"/>
      <c r="C1448" s="29"/>
      <c r="D1448" s="29"/>
      <c r="E1448" s="29"/>
      <c r="H1448" s="27"/>
      <c r="K1448"/>
      <c r="P1448" s="27"/>
      <c r="Q1448" s="27"/>
      <c r="R1448" s="27"/>
    </row>
    <row r="1449" spans="1:18">
      <c r="A1449" s="28"/>
      <c r="B1449" s="29"/>
      <c r="C1449" s="29"/>
      <c r="D1449" s="29"/>
      <c r="E1449" s="29"/>
      <c r="H1449" s="27"/>
      <c r="K1449"/>
      <c r="P1449" s="27"/>
      <c r="Q1449" s="27"/>
      <c r="R1449" s="27"/>
    </row>
    <row r="1450" spans="1:18">
      <c r="A1450" s="28"/>
      <c r="B1450" s="29"/>
      <c r="C1450" s="29"/>
      <c r="D1450" s="29"/>
      <c r="E1450" s="29"/>
      <c r="H1450" s="27"/>
      <c r="K1450"/>
      <c r="P1450" s="27"/>
      <c r="Q1450" s="27"/>
      <c r="R1450" s="27"/>
    </row>
    <row r="1451" spans="1:18">
      <c r="A1451" s="28"/>
      <c r="B1451" s="29"/>
      <c r="C1451" s="29"/>
      <c r="D1451" s="29"/>
      <c r="E1451" s="29"/>
      <c r="H1451" s="27"/>
      <c r="K1451"/>
      <c r="P1451" s="27"/>
      <c r="Q1451" s="27"/>
      <c r="R1451" s="27"/>
    </row>
    <row r="1452" spans="1:18">
      <c r="A1452" s="28"/>
      <c r="B1452" s="29"/>
      <c r="C1452" s="29"/>
      <c r="D1452" s="29"/>
      <c r="E1452" s="29"/>
      <c r="H1452" s="27"/>
      <c r="K1452"/>
      <c r="P1452" s="27"/>
      <c r="Q1452" s="27"/>
      <c r="R1452" s="27"/>
    </row>
    <row r="1453" spans="1:18">
      <c r="A1453" s="28"/>
      <c r="B1453" s="29"/>
      <c r="C1453" s="29"/>
      <c r="D1453" s="29"/>
      <c r="E1453" s="29"/>
      <c r="H1453" s="27"/>
      <c r="K1453"/>
      <c r="P1453" s="27"/>
      <c r="Q1453" s="27"/>
      <c r="R1453" s="27"/>
    </row>
    <row r="1454" spans="1:18">
      <c r="A1454" s="28"/>
      <c r="B1454" s="29"/>
      <c r="C1454" s="29"/>
      <c r="D1454" s="29"/>
      <c r="E1454" s="29"/>
      <c r="H1454" s="27"/>
      <c r="K1454"/>
      <c r="P1454" s="27"/>
      <c r="Q1454" s="27"/>
      <c r="R1454" s="27"/>
    </row>
    <row r="1455" spans="1:18">
      <c r="A1455" s="28"/>
      <c r="B1455" s="29"/>
      <c r="C1455" s="29"/>
      <c r="D1455" s="29"/>
      <c r="E1455" s="29"/>
      <c r="H1455" s="27"/>
      <c r="K1455"/>
      <c r="P1455" s="27"/>
      <c r="Q1455" s="27"/>
      <c r="R1455" s="27"/>
    </row>
    <row r="1456" spans="1:18">
      <c r="A1456" s="28"/>
      <c r="B1456" s="29"/>
      <c r="C1456" s="29"/>
      <c r="D1456" s="29"/>
      <c r="E1456" s="29"/>
      <c r="H1456" s="27"/>
      <c r="K1456"/>
      <c r="P1456" s="27"/>
      <c r="Q1456" s="27"/>
      <c r="R1456" s="27"/>
    </row>
    <row r="1457" spans="1:18">
      <c r="A1457" s="28"/>
      <c r="B1457" s="29"/>
      <c r="C1457" s="29"/>
      <c r="D1457" s="29"/>
      <c r="E1457" s="29"/>
      <c r="H1457" s="27"/>
      <c r="K1457"/>
      <c r="P1457" s="27"/>
      <c r="Q1457" s="27"/>
      <c r="R1457" s="27"/>
    </row>
    <row r="1458" spans="1:18">
      <c r="A1458" s="28"/>
      <c r="B1458" s="29"/>
      <c r="C1458" s="29"/>
      <c r="D1458" s="29"/>
      <c r="E1458" s="29"/>
      <c r="H1458" s="27"/>
      <c r="K1458"/>
      <c r="P1458" s="27"/>
      <c r="Q1458" s="27"/>
      <c r="R1458" s="27"/>
    </row>
    <row r="1459" spans="1:18">
      <c r="A1459" s="28"/>
      <c r="B1459" s="29"/>
      <c r="C1459" s="29"/>
      <c r="D1459" s="29"/>
      <c r="E1459" s="29"/>
      <c r="H1459" s="27"/>
      <c r="K1459"/>
      <c r="P1459" s="27"/>
      <c r="Q1459" s="27"/>
      <c r="R1459" s="27"/>
    </row>
    <row r="1460" spans="1:18">
      <c r="A1460" s="28"/>
      <c r="B1460" s="29"/>
      <c r="C1460" s="29"/>
      <c r="D1460" s="29"/>
      <c r="E1460" s="29"/>
      <c r="H1460" s="27"/>
      <c r="K1460"/>
      <c r="P1460" s="27"/>
      <c r="Q1460" s="27"/>
      <c r="R1460" s="27"/>
    </row>
    <row r="1461" spans="1:18">
      <c r="A1461" s="28"/>
      <c r="B1461" s="29"/>
      <c r="C1461" s="29"/>
      <c r="D1461" s="29"/>
      <c r="E1461" s="29"/>
      <c r="H1461" s="27"/>
      <c r="K1461"/>
      <c r="P1461" s="27"/>
      <c r="Q1461" s="27"/>
      <c r="R1461" s="27"/>
    </row>
    <row r="1462" spans="1:18">
      <c r="A1462" s="28"/>
      <c r="B1462" s="29"/>
      <c r="C1462" s="29"/>
      <c r="D1462" s="29"/>
      <c r="E1462" s="29"/>
      <c r="H1462" s="27"/>
      <c r="K1462"/>
      <c r="P1462" s="27"/>
      <c r="Q1462" s="27"/>
      <c r="R1462" s="27"/>
    </row>
    <row r="1463" spans="1:18">
      <c r="A1463" s="28"/>
      <c r="B1463" s="29"/>
      <c r="C1463" s="29"/>
      <c r="D1463" s="29"/>
      <c r="E1463" s="29"/>
      <c r="H1463" s="27"/>
      <c r="K1463"/>
      <c r="P1463" s="27"/>
      <c r="Q1463" s="27"/>
      <c r="R1463" s="27"/>
    </row>
    <row r="1464" spans="1:18">
      <c r="A1464" s="28"/>
      <c r="B1464" s="29"/>
      <c r="C1464" s="29"/>
      <c r="D1464" s="29"/>
      <c r="E1464" s="29"/>
      <c r="H1464" s="27"/>
      <c r="K1464"/>
      <c r="P1464" s="27"/>
      <c r="Q1464" s="27"/>
      <c r="R1464" s="27"/>
    </row>
    <row r="1465" spans="1:18">
      <c r="A1465" s="28"/>
      <c r="B1465" s="29"/>
      <c r="C1465" s="29"/>
      <c r="D1465" s="29"/>
      <c r="E1465" s="29"/>
      <c r="H1465" s="27"/>
      <c r="K1465"/>
      <c r="P1465" s="27"/>
      <c r="Q1465" s="27"/>
      <c r="R1465" s="27"/>
    </row>
    <row r="1466" spans="1:18">
      <c r="A1466" s="28"/>
      <c r="B1466" s="29"/>
      <c r="C1466" s="29"/>
      <c r="D1466" s="29"/>
      <c r="E1466" s="29"/>
      <c r="H1466" s="27"/>
      <c r="K1466"/>
      <c r="P1466" s="27"/>
      <c r="Q1466" s="27"/>
      <c r="R1466" s="27"/>
    </row>
    <row r="1467" spans="1:18">
      <c r="A1467" s="28"/>
      <c r="B1467" s="29"/>
      <c r="C1467" s="29"/>
      <c r="D1467" s="29"/>
      <c r="E1467" s="29"/>
      <c r="H1467" s="27"/>
      <c r="K1467"/>
      <c r="P1467" s="27"/>
      <c r="Q1467" s="27"/>
      <c r="R1467" s="27"/>
    </row>
    <row r="1468" spans="1:18">
      <c r="A1468" s="28"/>
      <c r="B1468" s="29"/>
      <c r="C1468" s="29"/>
      <c r="D1468" s="29"/>
      <c r="E1468" s="29"/>
      <c r="H1468" s="27"/>
      <c r="K1468"/>
      <c r="P1468" s="27"/>
      <c r="Q1468" s="27"/>
      <c r="R1468" s="27"/>
    </row>
    <row r="1469" spans="1:18">
      <c r="A1469" s="28"/>
      <c r="B1469" s="29"/>
      <c r="C1469" s="29"/>
      <c r="D1469" s="29"/>
      <c r="E1469" s="29"/>
      <c r="H1469" s="27"/>
      <c r="K1469"/>
      <c r="P1469" s="27"/>
      <c r="Q1469" s="27"/>
      <c r="R1469" s="27"/>
    </row>
    <row r="1470" spans="1:18">
      <c r="A1470" s="28"/>
      <c r="B1470" s="29"/>
      <c r="C1470" s="29"/>
      <c r="D1470" s="29"/>
      <c r="E1470" s="29"/>
      <c r="H1470" s="27"/>
      <c r="K1470"/>
      <c r="P1470" s="27"/>
      <c r="Q1470" s="27"/>
      <c r="R1470" s="27"/>
    </row>
    <row r="1471" spans="1:18">
      <c r="A1471" s="28"/>
      <c r="B1471" s="29"/>
      <c r="C1471" s="29"/>
      <c r="D1471" s="29"/>
      <c r="E1471" s="29"/>
      <c r="H1471" s="27"/>
      <c r="K1471"/>
      <c r="P1471" s="27"/>
      <c r="Q1471" s="27"/>
      <c r="R1471" s="27"/>
    </row>
    <row r="1472" spans="1:18">
      <c r="A1472" s="28"/>
      <c r="B1472" s="29"/>
      <c r="C1472" s="29"/>
      <c r="D1472" s="29"/>
      <c r="E1472" s="29"/>
      <c r="H1472" s="27"/>
      <c r="K1472"/>
      <c r="P1472" s="27"/>
      <c r="Q1472" s="27"/>
      <c r="R1472" s="27"/>
    </row>
    <row r="1473" spans="1:18">
      <c r="A1473" s="28"/>
      <c r="B1473" s="29"/>
      <c r="C1473" s="29"/>
      <c r="D1473" s="29"/>
      <c r="E1473" s="29"/>
      <c r="H1473" s="27"/>
      <c r="K1473"/>
      <c r="P1473" s="27"/>
      <c r="Q1473" s="27"/>
      <c r="R1473" s="27"/>
    </row>
    <row r="1474" spans="1:18">
      <c r="A1474" s="28"/>
      <c r="B1474" s="29"/>
      <c r="C1474" s="29"/>
      <c r="D1474" s="29"/>
      <c r="E1474" s="29"/>
      <c r="H1474" s="27"/>
      <c r="K1474"/>
      <c r="P1474" s="27"/>
      <c r="Q1474" s="27"/>
      <c r="R1474" s="27"/>
    </row>
    <row r="1475" spans="1:18">
      <c r="A1475" s="28"/>
      <c r="B1475" s="29"/>
      <c r="C1475" s="29"/>
      <c r="D1475" s="29"/>
      <c r="E1475" s="29"/>
      <c r="H1475" s="27"/>
      <c r="K1475"/>
      <c r="P1475" s="27"/>
      <c r="Q1475" s="27"/>
      <c r="R1475" s="27"/>
    </row>
    <row r="1476" spans="1:18">
      <c r="A1476" s="28"/>
      <c r="B1476" s="29"/>
      <c r="C1476" s="29"/>
      <c r="D1476" s="29"/>
      <c r="E1476" s="29"/>
      <c r="H1476" s="27"/>
      <c r="K1476"/>
      <c r="P1476" s="27"/>
      <c r="Q1476" s="27"/>
      <c r="R1476" s="27"/>
    </row>
    <row r="1477" spans="1:18">
      <c r="A1477" s="28"/>
      <c r="B1477" s="29"/>
      <c r="C1477" s="29"/>
      <c r="D1477" s="29"/>
      <c r="E1477" s="29"/>
      <c r="H1477" s="27"/>
      <c r="K1477"/>
      <c r="P1477" s="27"/>
      <c r="Q1477" s="27"/>
      <c r="R1477" s="27"/>
    </row>
    <row r="1478" spans="1:18">
      <c r="A1478" s="28"/>
      <c r="B1478" s="29"/>
      <c r="C1478" s="29"/>
      <c r="D1478" s="29"/>
      <c r="E1478" s="29"/>
      <c r="H1478" s="27"/>
      <c r="K1478"/>
      <c r="P1478" s="27"/>
      <c r="Q1478" s="27"/>
      <c r="R1478" s="27"/>
    </row>
    <row r="1479" spans="1:18">
      <c r="A1479" s="28"/>
      <c r="B1479" s="29"/>
      <c r="C1479" s="29"/>
      <c r="D1479" s="29"/>
      <c r="E1479" s="29"/>
      <c r="H1479" s="27"/>
      <c r="K1479"/>
      <c r="P1479" s="27"/>
      <c r="Q1479" s="27"/>
      <c r="R1479" s="27"/>
    </row>
    <row r="1480" spans="1:18">
      <c r="A1480" s="28"/>
      <c r="B1480" s="29"/>
      <c r="C1480" s="29"/>
      <c r="D1480" s="29"/>
      <c r="E1480" s="29"/>
      <c r="H1480" s="27"/>
      <c r="K1480"/>
      <c r="P1480" s="27"/>
      <c r="Q1480" s="27"/>
      <c r="R1480" s="27"/>
    </row>
    <row r="1481" spans="1:18">
      <c r="A1481" s="28"/>
      <c r="B1481" s="29"/>
      <c r="C1481" s="29"/>
      <c r="D1481" s="29"/>
      <c r="E1481" s="29"/>
      <c r="H1481" s="27"/>
      <c r="K1481"/>
      <c r="P1481" s="27"/>
      <c r="Q1481" s="27"/>
      <c r="R1481" s="27"/>
    </row>
    <row r="1482" spans="1:18">
      <c r="A1482" s="28"/>
      <c r="B1482" s="29"/>
      <c r="C1482" s="29"/>
      <c r="D1482" s="29"/>
      <c r="E1482" s="29"/>
      <c r="H1482" s="27"/>
      <c r="K1482"/>
      <c r="P1482" s="27"/>
      <c r="Q1482" s="27"/>
      <c r="R1482" s="27"/>
    </row>
    <row r="1483" spans="1:18">
      <c r="A1483" s="28"/>
      <c r="B1483" s="29"/>
      <c r="C1483" s="29"/>
      <c r="D1483" s="29"/>
      <c r="E1483" s="29"/>
      <c r="H1483" s="27"/>
      <c r="K1483"/>
      <c r="P1483" s="27"/>
      <c r="Q1483" s="27"/>
      <c r="R1483" s="27"/>
    </row>
    <row r="1484" spans="1:18">
      <c r="A1484" s="28"/>
      <c r="B1484" s="29"/>
      <c r="C1484" s="29"/>
      <c r="D1484" s="29"/>
      <c r="E1484" s="29"/>
      <c r="H1484" s="27"/>
      <c r="K1484"/>
      <c r="P1484" s="27"/>
      <c r="Q1484" s="27"/>
      <c r="R1484" s="27"/>
    </row>
    <row r="1485" spans="1:18">
      <c r="A1485" s="28"/>
      <c r="B1485" s="29"/>
      <c r="C1485" s="29"/>
      <c r="D1485" s="29"/>
      <c r="E1485" s="29"/>
      <c r="H1485" s="27"/>
      <c r="K1485"/>
      <c r="P1485" s="27"/>
      <c r="Q1485" s="27"/>
      <c r="R1485" s="27"/>
    </row>
    <row r="1486" spans="1:18">
      <c r="A1486" s="28"/>
      <c r="B1486" s="29"/>
      <c r="C1486" s="29"/>
      <c r="D1486" s="29"/>
      <c r="E1486" s="29"/>
      <c r="H1486" s="27"/>
      <c r="K1486"/>
      <c r="P1486" s="27"/>
      <c r="Q1486" s="27"/>
      <c r="R1486" s="27"/>
    </row>
    <row r="1487" spans="1:18">
      <c r="A1487" s="28"/>
      <c r="B1487" s="29"/>
      <c r="C1487" s="29"/>
      <c r="D1487" s="29"/>
      <c r="E1487" s="29"/>
      <c r="H1487" s="27"/>
      <c r="K1487"/>
      <c r="P1487" s="27"/>
      <c r="Q1487" s="27"/>
      <c r="R1487" s="27"/>
    </row>
    <row r="1488" spans="1:18">
      <c r="A1488" s="28"/>
      <c r="B1488" s="29"/>
      <c r="C1488" s="29"/>
      <c r="D1488" s="29"/>
      <c r="E1488" s="29"/>
      <c r="H1488" s="27"/>
      <c r="K1488"/>
      <c r="P1488" s="27"/>
      <c r="Q1488" s="27"/>
      <c r="R1488" s="27"/>
    </row>
    <row r="1489" spans="1:18">
      <c r="A1489" s="28"/>
      <c r="B1489" s="29"/>
      <c r="C1489" s="29"/>
      <c r="D1489" s="29"/>
      <c r="E1489" s="29"/>
      <c r="H1489" s="27"/>
      <c r="K1489"/>
      <c r="P1489" s="27"/>
      <c r="Q1489" s="27"/>
      <c r="R1489" s="27"/>
    </row>
    <row r="1490" spans="1:18">
      <c r="A1490" s="28"/>
      <c r="B1490" s="29"/>
      <c r="C1490" s="29"/>
      <c r="D1490" s="29"/>
      <c r="E1490" s="29"/>
      <c r="H1490" s="27"/>
      <c r="K1490"/>
      <c r="P1490" s="27"/>
      <c r="Q1490" s="27"/>
      <c r="R1490" s="27"/>
    </row>
    <row r="1491" spans="1:18">
      <c r="A1491" s="28"/>
      <c r="B1491" s="29"/>
      <c r="C1491" s="29"/>
      <c r="D1491" s="29"/>
      <c r="E1491" s="29"/>
      <c r="H1491" s="27"/>
      <c r="K1491"/>
      <c r="P1491" s="27"/>
      <c r="Q1491" s="27"/>
      <c r="R1491" s="27"/>
    </row>
    <row r="1492" spans="1:18">
      <c r="A1492" s="28"/>
      <c r="B1492" s="29"/>
      <c r="C1492" s="29"/>
      <c r="D1492" s="29"/>
      <c r="E1492" s="29"/>
      <c r="H1492" s="27"/>
      <c r="K1492"/>
      <c r="P1492" s="27"/>
      <c r="Q1492" s="27"/>
      <c r="R1492" s="27"/>
    </row>
    <row r="1493" spans="1:18">
      <c r="A1493" s="28"/>
      <c r="B1493" s="29"/>
      <c r="C1493" s="29"/>
      <c r="D1493" s="29"/>
      <c r="E1493" s="29"/>
      <c r="H1493" s="27"/>
      <c r="K1493"/>
      <c r="P1493" s="27"/>
      <c r="Q1493" s="27"/>
      <c r="R1493" s="27"/>
    </row>
    <row r="1494" spans="1:18">
      <c r="A1494" s="28"/>
      <c r="B1494" s="29"/>
      <c r="C1494" s="29"/>
      <c r="D1494" s="29"/>
      <c r="E1494" s="29"/>
      <c r="H1494" s="27"/>
      <c r="K1494"/>
      <c r="P1494" s="27"/>
      <c r="Q1494" s="27"/>
      <c r="R1494" s="27"/>
    </row>
    <row r="1495" spans="1:18">
      <c r="A1495" s="28"/>
      <c r="B1495" s="29"/>
      <c r="C1495" s="29"/>
      <c r="D1495" s="29"/>
      <c r="E1495" s="29"/>
      <c r="H1495" s="27"/>
      <c r="K1495"/>
      <c r="P1495" s="27"/>
      <c r="Q1495" s="27"/>
      <c r="R1495" s="27"/>
    </row>
    <row r="1496" spans="1:18">
      <c r="A1496" s="28"/>
      <c r="B1496" s="29"/>
      <c r="C1496" s="29"/>
      <c r="D1496" s="29"/>
      <c r="E1496" s="29"/>
      <c r="H1496" s="27"/>
      <c r="K1496"/>
      <c r="P1496" s="27"/>
      <c r="Q1496" s="27"/>
      <c r="R1496" s="27"/>
    </row>
    <row r="1497" spans="1:18">
      <c r="A1497" s="28"/>
      <c r="B1497" s="29"/>
      <c r="C1497" s="29"/>
      <c r="D1497" s="29"/>
      <c r="E1497" s="29"/>
      <c r="H1497" s="27"/>
      <c r="K1497"/>
      <c r="P1497" s="27"/>
      <c r="Q1497" s="27"/>
      <c r="R1497" s="27"/>
    </row>
    <row r="1498" spans="1:18">
      <c r="A1498" s="28"/>
      <c r="B1498" s="29"/>
      <c r="C1498" s="29"/>
      <c r="D1498" s="29"/>
      <c r="E1498" s="29"/>
      <c r="H1498" s="27"/>
      <c r="K1498"/>
      <c r="P1498" s="27"/>
      <c r="Q1498" s="27"/>
      <c r="R1498" s="27"/>
    </row>
    <row r="1499" spans="1:18">
      <c r="A1499" s="28"/>
      <c r="B1499" s="29"/>
      <c r="C1499" s="29"/>
      <c r="D1499" s="29"/>
      <c r="E1499" s="29"/>
      <c r="H1499" s="27"/>
      <c r="K1499"/>
      <c r="P1499" s="27"/>
      <c r="Q1499" s="27"/>
      <c r="R1499" s="27"/>
    </row>
    <row r="1500" spans="1:18">
      <c r="A1500" s="28"/>
      <c r="B1500" s="29"/>
      <c r="C1500" s="29"/>
      <c r="D1500" s="29"/>
      <c r="E1500" s="29"/>
      <c r="H1500" s="27"/>
      <c r="K1500"/>
      <c r="P1500" s="27"/>
      <c r="Q1500" s="27"/>
      <c r="R1500" s="27"/>
    </row>
    <row r="1501" spans="1:18">
      <c r="A1501" s="28"/>
      <c r="B1501" s="29"/>
      <c r="C1501" s="29"/>
      <c r="D1501" s="29"/>
      <c r="E1501" s="29"/>
      <c r="H1501" s="27"/>
      <c r="K1501"/>
      <c r="P1501" s="27"/>
      <c r="Q1501" s="27"/>
      <c r="R1501" s="27"/>
    </row>
    <row r="1502" spans="1:18">
      <c r="A1502" s="28"/>
      <c r="B1502" s="29"/>
      <c r="C1502" s="29"/>
      <c r="D1502" s="29"/>
      <c r="E1502" s="29"/>
      <c r="H1502" s="27"/>
      <c r="K1502"/>
      <c r="P1502" s="27"/>
      <c r="Q1502" s="27"/>
      <c r="R1502" s="27"/>
    </row>
    <row r="1503" spans="1:18">
      <c r="A1503" s="28"/>
      <c r="B1503" s="29"/>
      <c r="C1503" s="29"/>
      <c r="D1503" s="29"/>
      <c r="E1503" s="29"/>
      <c r="H1503" s="27"/>
      <c r="K1503"/>
      <c r="P1503" s="27"/>
      <c r="Q1503" s="27"/>
      <c r="R1503" s="27"/>
    </row>
    <row r="1504" spans="1:18">
      <c r="A1504" s="28"/>
      <c r="B1504" s="29"/>
      <c r="C1504" s="29"/>
      <c r="D1504" s="29"/>
      <c r="E1504" s="29"/>
      <c r="H1504" s="27"/>
      <c r="K1504"/>
      <c r="P1504" s="27"/>
      <c r="Q1504" s="27"/>
      <c r="R1504" s="27"/>
    </row>
    <row r="1505" spans="1:18">
      <c r="A1505" s="28"/>
      <c r="B1505" s="29"/>
      <c r="C1505" s="29"/>
      <c r="D1505" s="29"/>
      <c r="E1505" s="29"/>
      <c r="H1505" s="27"/>
      <c r="K1505"/>
      <c r="P1505" s="27"/>
      <c r="Q1505" s="27"/>
      <c r="R1505" s="27"/>
    </row>
    <row r="1506" spans="1:18">
      <c r="A1506" s="28"/>
      <c r="B1506" s="29"/>
      <c r="C1506" s="29"/>
      <c r="D1506" s="29"/>
      <c r="E1506" s="29"/>
      <c r="H1506" s="27"/>
      <c r="K1506"/>
      <c r="P1506" s="27"/>
      <c r="Q1506" s="27"/>
      <c r="R1506" s="27"/>
    </row>
    <row r="1507" spans="1:18">
      <c r="A1507" s="28"/>
      <c r="B1507" s="29"/>
      <c r="C1507" s="29"/>
      <c r="D1507" s="29"/>
      <c r="E1507" s="29"/>
      <c r="H1507" s="27"/>
      <c r="K1507"/>
      <c r="P1507" s="27"/>
      <c r="Q1507" s="27"/>
      <c r="R1507" s="27"/>
    </row>
    <row r="1508" spans="1:18">
      <c r="A1508" s="28"/>
      <c r="B1508" s="29"/>
      <c r="C1508" s="29"/>
      <c r="D1508" s="29"/>
      <c r="E1508" s="29"/>
      <c r="H1508" s="27"/>
      <c r="K1508"/>
      <c r="P1508" s="27"/>
      <c r="Q1508" s="27"/>
      <c r="R1508" s="27"/>
    </row>
    <row r="1509" spans="1:18">
      <c r="A1509" s="28"/>
      <c r="B1509" s="29"/>
      <c r="C1509" s="29"/>
      <c r="D1509" s="29"/>
      <c r="E1509" s="29"/>
      <c r="H1509" s="27"/>
      <c r="K1509"/>
      <c r="P1509" s="27"/>
      <c r="Q1509" s="27"/>
      <c r="R1509" s="27"/>
    </row>
    <row r="1510" spans="1:18">
      <c r="A1510" s="28"/>
      <c r="B1510" s="29"/>
      <c r="C1510" s="29"/>
      <c r="D1510" s="29"/>
      <c r="E1510" s="29"/>
      <c r="H1510" s="27"/>
      <c r="K1510"/>
      <c r="P1510" s="27"/>
      <c r="Q1510" s="27"/>
      <c r="R1510" s="27"/>
    </row>
    <row r="1511" spans="1:18">
      <c r="A1511" s="28"/>
      <c r="B1511" s="29"/>
      <c r="C1511" s="29"/>
      <c r="D1511" s="29"/>
      <c r="E1511" s="29"/>
      <c r="H1511" s="27"/>
      <c r="K1511"/>
      <c r="P1511" s="27"/>
      <c r="Q1511" s="27"/>
      <c r="R1511" s="27"/>
    </row>
    <row r="1512" spans="1:18">
      <c r="A1512" s="28"/>
      <c r="B1512" s="29"/>
      <c r="C1512" s="29"/>
      <c r="D1512" s="29"/>
      <c r="E1512" s="29"/>
      <c r="H1512" s="27"/>
      <c r="K1512"/>
      <c r="P1512" s="27"/>
      <c r="Q1512" s="27"/>
      <c r="R1512" s="27"/>
    </row>
    <row r="1513" spans="1:18">
      <c r="A1513" s="28"/>
      <c r="B1513" s="29"/>
      <c r="C1513" s="29"/>
      <c r="D1513" s="29"/>
      <c r="E1513" s="29"/>
      <c r="H1513" s="27"/>
      <c r="K1513"/>
      <c r="P1513" s="27"/>
      <c r="Q1513" s="27"/>
      <c r="R1513" s="27"/>
    </row>
    <row r="1514" spans="1:18">
      <c r="A1514" s="28"/>
      <c r="B1514" s="29"/>
      <c r="C1514" s="29"/>
      <c r="D1514" s="29"/>
      <c r="E1514" s="29"/>
      <c r="H1514" s="27"/>
      <c r="K1514"/>
      <c r="P1514" s="27"/>
      <c r="Q1514" s="27"/>
      <c r="R1514" s="27"/>
    </row>
    <row r="1515" spans="1:18">
      <c r="A1515" s="28"/>
      <c r="B1515" s="29"/>
      <c r="C1515" s="29"/>
      <c r="D1515" s="29"/>
      <c r="E1515" s="29"/>
      <c r="H1515" s="27"/>
      <c r="K1515"/>
      <c r="P1515" s="27"/>
      <c r="Q1515" s="27"/>
      <c r="R1515" s="27"/>
    </row>
    <row r="1516" spans="1:18">
      <c r="A1516" s="28"/>
      <c r="B1516" s="29"/>
      <c r="C1516" s="29"/>
      <c r="D1516" s="29"/>
      <c r="E1516" s="29"/>
      <c r="H1516" s="27"/>
      <c r="K1516"/>
      <c r="P1516" s="27"/>
      <c r="Q1516" s="27"/>
      <c r="R1516" s="27"/>
    </row>
    <row r="1517" spans="1:18">
      <c r="A1517" s="28"/>
      <c r="B1517" s="29"/>
      <c r="C1517" s="29"/>
      <c r="D1517" s="29"/>
      <c r="E1517" s="29"/>
      <c r="H1517" s="27"/>
      <c r="K1517"/>
      <c r="P1517" s="27"/>
      <c r="Q1517" s="27"/>
      <c r="R1517" s="27"/>
    </row>
    <row r="1518" spans="1:18">
      <c r="A1518" s="28"/>
      <c r="B1518" s="29"/>
      <c r="C1518" s="29"/>
      <c r="D1518" s="29"/>
      <c r="E1518" s="29"/>
      <c r="H1518" s="27"/>
      <c r="K1518"/>
      <c r="P1518" s="27"/>
      <c r="Q1518" s="27"/>
      <c r="R1518" s="27"/>
    </row>
    <row r="1519" spans="1:18">
      <c r="A1519" s="28"/>
      <c r="B1519" s="29"/>
      <c r="C1519" s="29"/>
      <c r="D1519" s="29"/>
      <c r="E1519" s="29"/>
      <c r="H1519" s="27"/>
      <c r="K1519"/>
      <c r="P1519" s="27"/>
      <c r="Q1519" s="27"/>
      <c r="R1519" s="27"/>
    </row>
    <row r="1520" spans="1:18">
      <c r="A1520" s="28"/>
      <c r="B1520" s="29"/>
      <c r="C1520" s="29"/>
      <c r="D1520" s="29"/>
      <c r="E1520" s="29"/>
      <c r="H1520" s="27"/>
      <c r="K1520"/>
      <c r="P1520" s="27"/>
      <c r="Q1520" s="27"/>
      <c r="R1520" s="27"/>
    </row>
    <row r="1521" spans="1:18">
      <c r="A1521" s="28"/>
      <c r="B1521" s="29"/>
      <c r="C1521" s="29"/>
      <c r="D1521" s="29"/>
      <c r="E1521" s="29"/>
      <c r="H1521" s="27"/>
      <c r="K1521"/>
      <c r="P1521" s="27"/>
      <c r="Q1521" s="27"/>
      <c r="R1521" s="27"/>
    </row>
    <row r="1522" spans="1:18">
      <c r="A1522" s="28"/>
      <c r="B1522" s="29"/>
      <c r="C1522" s="29"/>
      <c r="D1522" s="29"/>
      <c r="E1522" s="29"/>
      <c r="H1522" s="27"/>
      <c r="K1522"/>
      <c r="P1522" s="27"/>
      <c r="Q1522" s="27"/>
      <c r="R1522" s="27"/>
    </row>
    <row r="1523" spans="1:18">
      <c r="A1523" s="28"/>
      <c r="B1523" s="29"/>
      <c r="C1523" s="29"/>
      <c r="D1523" s="29"/>
      <c r="E1523" s="29"/>
      <c r="H1523" s="27"/>
      <c r="K1523"/>
      <c r="P1523" s="27"/>
      <c r="Q1523" s="27"/>
      <c r="R1523" s="27"/>
    </row>
    <row r="1524" spans="1:18">
      <c r="A1524" s="28"/>
      <c r="B1524" s="29"/>
      <c r="C1524" s="29"/>
      <c r="D1524" s="29"/>
      <c r="E1524" s="29"/>
      <c r="H1524" s="27"/>
      <c r="K1524"/>
      <c r="P1524" s="27"/>
      <c r="Q1524" s="27"/>
      <c r="R1524" s="27"/>
    </row>
    <row r="1525" spans="1:18">
      <c r="A1525" s="28"/>
      <c r="B1525" s="29"/>
      <c r="C1525" s="29"/>
      <c r="D1525" s="29"/>
      <c r="E1525" s="29"/>
      <c r="H1525" s="27"/>
      <c r="K1525"/>
      <c r="P1525" s="27"/>
      <c r="Q1525" s="27"/>
      <c r="R1525" s="27"/>
    </row>
    <row r="1526" spans="1:18">
      <c r="A1526" s="28"/>
      <c r="B1526" s="29"/>
      <c r="C1526" s="29"/>
      <c r="D1526" s="29"/>
      <c r="E1526" s="29"/>
      <c r="H1526" s="27"/>
      <c r="K1526"/>
      <c r="P1526" s="27"/>
      <c r="Q1526" s="27"/>
      <c r="R1526" s="27"/>
    </row>
    <row r="1527" spans="1:18">
      <c r="A1527" s="28"/>
      <c r="B1527" s="29"/>
      <c r="C1527" s="29"/>
      <c r="D1527" s="29"/>
      <c r="E1527" s="29"/>
      <c r="H1527" s="27"/>
      <c r="K1527"/>
      <c r="P1527" s="27"/>
      <c r="Q1527" s="27"/>
      <c r="R1527" s="27"/>
    </row>
    <row r="1528" spans="1:18">
      <c r="A1528" s="28"/>
      <c r="B1528" s="29"/>
      <c r="C1528" s="29"/>
      <c r="D1528" s="29"/>
      <c r="E1528" s="29"/>
      <c r="H1528" s="27"/>
      <c r="K1528"/>
      <c r="P1528" s="27"/>
      <c r="Q1528" s="27"/>
      <c r="R1528" s="27"/>
    </row>
    <row r="1529" spans="1:18">
      <c r="A1529" s="28"/>
      <c r="B1529" s="29"/>
      <c r="C1529" s="29"/>
      <c r="D1529" s="29"/>
      <c r="E1529" s="29"/>
      <c r="H1529" s="27"/>
      <c r="K1529"/>
      <c r="P1529" s="27"/>
      <c r="Q1529" s="27"/>
      <c r="R1529" s="27"/>
    </row>
    <row r="1530" spans="1:18">
      <c r="A1530" s="28"/>
      <c r="B1530" s="29"/>
      <c r="C1530" s="29"/>
      <c r="D1530" s="29"/>
      <c r="E1530" s="29"/>
      <c r="H1530" s="27"/>
      <c r="K1530"/>
      <c r="P1530" s="27"/>
      <c r="Q1530" s="27"/>
      <c r="R1530" s="27"/>
    </row>
    <row r="1531" spans="1:18">
      <c r="A1531" s="28"/>
      <c r="B1531" s="29"/>
      <c r="C1531" s="29"/>
      <c r="D1531" s="29"/>
      <c r="E1531" s="29"/>
      <c r="H1531" s="27"/>
      <c r="K1531"/>
      <c r="P1531" s="27"/>
      <c r="Q1531" s="27"/>
      <c r="R1531" s="27"/>
    </row>
    <row r="1532" spans="1:18">
      <c r="A1532" s="28"/>
      <c r="B1532" s="29"/>
      <c r="C1532" s="29"/>
      <c r="D1532" s="29"/>
      <c r="E1532" s="29"/>
      <c r="H1532" s="27"/>
      <c r="K1532"/>
      <c r="P1532" s="27"/>
      <c r="Q1532" s="27"/>
      <c r="R1532" s="27"/>
    </row>
    <row r="1533" spans="1:18">
      <c r="A1533" s="28"/>
      <c r="B1533" s="29"/>
      <c r="C1533" s="29"/>
      <c r="D1533" s="29"/>
      <c r="E1533" s="29"/>
      <c r="H1533" s="27"/>
      <c r="K1533"/>
      <c r="P1533" s="27"/>
      <c r="Q1533" s="27"/>
      <c r="R1533" s="27"/>
    </row>
    <row r="1534" spans="1:18">
      <c r="A1534" s="28"/>
      <c r="B1534" s="29"/>
      <c r="C1534" s="29"/>
      <c r="D1534" s="29"/>
      <c r="E1534" s="29"/>
      <c r="H1534" s="27"/>
      <c r="K1534"/>
      <c r="P1534" s="27"/>
      <c r="Q1534" s="27"/>
      <c r="R1534" s="27"/>
    </row>
    <row r="1535" spans="1:18">
      <c r="A1535" s="28"/>
      <c r="B1535" s="29"/>
      <c r="C1535" s="29"/>
      <c r="D1535" s="29"/>
      <c r="E1535" s="29"/>
      <c r="H1535" s="27"/>
      <c r="K1535"/>
      <c r="P1535" s="27"/>
      <c r="Q1535" s="27"/>
      <c r="R1535" s="27"/>
    </row>
    <row r="1536" spans="1:18">
      <c r="A1536" s="28"/>
      <c r="B1536" s="29"/>
      <c r="C1536" s="29"/>
      <c r="D1536" s="29"/>
      <c r="E1536" s="29"/>
      <c r="H1536" s="27"/>
      <c r="K1536"/>
      <c r="P1536" s="27"/>
      <c r="Q1536" s="27"/>
      <c r="R1536" s="27"/>
    </row>
    <row r="1537" spans="1:18">
      <c r="A1537" s="28"/>
      <c r="B1537" s="29"/>
      <c r="C1537" s="29"/>
      <c r="D1537" s="29"/>
      <c r="E1537" s="29"/>
      <c r="H1537" s="27"/>
      <c r="K1537"/>
      <c r="P1537" s="27"/>
      <c r="Q1537" s="27"/>
      <c r="R1537" s="27"/>
    </row>
    <row r="1538" spans="1:18">
      <c r="A1538" s="28"/>
      <c r="B1538" s="29"/>
      <c r="C1538" s="29"/>
      <c r="D1538" s="29"/>
      <c r="E1538" s="29"/>
      <c r="H1538" s="27"/>
      <c r="K1538"/>
      <c r="P1538" s="27"/>
      <c r="Q1538" s="27"/>
      <c r="R1538" s="27"/>
    </row>
    <row r="1539" spans="1:18">
      <c r="A1539" s="28"/>
      <c r="B1539" s="29"/>
      <c r="C1539" s="29"/>
      <c r="D1539" s="29"/>
      <c r="E1539" s="29"/>
      <c r="H1539" s="27"/>
      <c r="K1539"/>
      <c r="P1539" s="27"/>
      <c r="Q1539" s="27"/>
      <c r="R1539" s="27"/>
    </row>
    <row r="1540" spans="1:18">
      <c r="A1540" s="28"/>
      <c r="B1540" s="29"/>
      <c r="C1540" s="29"/>
      <c r="D1540" s="29"/>
      <c r="E1540" s="29"/>
      <c r="H1540" s="27"/>
      <c r="K1540"/>
      <c r="P1540" s="27"/>
      <c r="Q1540" s="27"/>
      <c r="R1540" s="27"/>
    </row>
    <row r="1541" spans="1:18">
      <c r="A1541" s="28"/>
      <c r="B1541" s="29"/>
      <c r="C1541" s="29"/>
      <c r="D1541" s="29"/>
      <c r="E1541" s="29"/>
      <c r="H1541" s="27"/>
      <c r="K1541"/>
      <c r="P1541" s="27"/>
      <c r="Q1541" s="27"/>
      <c r="R1541" s="27"/>
    </row>
    <row r="1542" spans="1:18">
      <c r="A1542" s="28"/>
      <c r="B1542" s="29"/>
      <c r="C1542" s="29"/>
      <c r="D1542" s="29"/>
      <c r="E1542" s="29"/>
      <c r="H1542" s="27"/>
      <c r="K1542"/>
      <c r="P1542" s="27"/>
      <c r="Q1542" s="27"/>
      <c r="R1542" s="27"/>
    </row>
    <row r="1543" spans="1:18">
      <c r="A1543" s="28"/>
      <c r="B1543" s="29"/>
      <c r="C1543" s="29"/>
      <c r="D1543" s="29"/>
      <c r="E1543" s="29"/>
      <c r="H1543" s="27"/>
      <c r="K1543"/>
      <c r="P1543" s="27"/>
      <c r="Q1543" s="27"/>
      <c r="R1543" s="27"/>
    </row>
    <row r="1544" spans="1:18">
      <c r="A1544" s="28"/>
      <c r="B1544" s="29"/>
      <c r="C1544" s="29"/>
      <c r="D1544" s="29"/>
      <c r="E1544" s="29"/>
      <c r="H1544" s="27"/>
      <c r="K1544"/>
      <c r="P1544" s="27"/>
      <c r="Q1544" s="27"/>
      <c r="R1544" s="27"/>
    </row>
    <row r="1545" spans="1:18">
      <c r="A1545" s="28"/>
      <c r="B1545" s="29"/>
      <c r="C1545" s="29"/>
      <c r="D1545" s="29"/>
      <c r="E1545" s="29"/>
      <c r="H1545" s="27"/>
      <c r="K1545"/>
      <c r="P1545" s="27"/>
      <c r="Q1545" s="27"/>
      <c r="R1545" s="27"/>
    </row>
    <row r="1546" spans="1:18">
      <c r="A1546" s="28"/>
      <c r="B1546" s="29"/>
      <c r="C1546" s="29"/>
      <c r="D1546" s="29"/>
      <c r="E1546" s="29"/>
      <c r="H1546" s="27"/>
      <c r="K1546"/>
      <c r="P1546" s="27"/>
      <c r="Q1546" s="27"/>
      <c r="R1546" s="27"/>
    </row>
    <row r="1547" spans="1:18">
      <c r="A1547" s="28"/>
      <c r="B1547" s="29"/>
      <c r="C1547" s="29"/>
      <c r="D1547" s="29"/>
      <c r="E1547" s="29"/>
      <c r="H1547" s="27"/>
      <c r="K1547"/>
      <c r="P1547" s="27"/>
      <c r="Q1547" s="27"/>
      <c r="R1547" s="27"/>
    </row>
    <row r="1548" spans="1:18">
      <c r="A1548" s="28"/>
      <c r="B1548" s="29"/>
      <c r="C1548" s="29"/>
      <c r="D1548" s="29"/>
      <c r="E1548" s="29"/>
      <c r="H1548" s="27"/>
      <c r="K1548"/>
      <c r="P1548" s="27"/>
      <c r="Q1548" s="27"/>
      <c r="R1548" s="27"/>
    </row>
    <row r="1549" spans="1:18">
      <c r="A1549" s="28"/>
      <c r="B1549" s="29"/>
      <c r="C1549" s="29"/>
      <c r="D1549" s="29"/>
      <c r="E1549" s="29"/>
      <c r="H1549" s="27"/>
      <c r="K1549"/>
      <c r="P1549" s="27"/>
      <c r="Q1549" s="27"/>
      <c r="R1549" s="27"/>
    </row>
    <row r="1550" spans="1:18">
      <c r="A1550" s="28"/>
      <c r="B1550" s="29"/>
      <c r="C1550" s="29"/>
      <c r="D1550" s="29"/>
      <c r="E1550" s="29"/>
      <c r="H1550" s="27"/>
      <c r="K1550"/>
      <c r="P1550" s="27"/>
      <c r="Q1550" s="27"/>
      <c r="R1550" s="27"/>
    </row>
    <row r="1551" spans="1:18">
      <c r="A1551" s="28"/>
      <c r="B1551" s="29"/>
      <c r="C1551" s="29"/>
      <c r="D1551" s="29"/>
      <c r="E1551" s="29"/>
      <c r="H1551" s="27"/>
      <c r="K1551"/>
      <c r="P1551" s="27"/>
      <c r="Q1551" s="27"/>
      <c r="R1551" s="27"/>
    </row>
    <row r="1552" spans="1:18">
      <c r="A1552" s="28"/>
      <c r="B1552" s="29"/>
      <c r="C1552" s="29"/>
      <c r="D1552" s="29"/>
      <c r="E1552" s="29"/>
      <c r="H1552" s="27"/>
      <c r="K1552"/>
      <c r="P1552" s="27"/>
      <c r="Q1552" s="27"/>
      <c r="R1552" s="27"/>
    </row>
    <row r="1553" spans="1:18">
      <c r="A1553" s="28"/>
      <c r="B1553" s="29"/>
      <c r="C1553" s="29"/>
      <c r="D1553" s="29"/>
      <c r="E1553" s="29"/>
      <c r="H1553" s="27"/>
      <c r="K1553"/>
      <c r="P1553" s="27"/>
      <c r="Q1553" s="27"/>
      <c r="R1553" s="27"/>
    </row>
    <row r="1554" spans="1:18">
      <c r="A1554" s="28"/>
      <c r="B1554" s="29"/>
      <c r="C1554" s="29"/>
      <c r="D1554" s="29"/>
      <c r="E1554" s="29"/>
      <c r="H1554" s="27"/>
      <c r="K1554"/>
      <c r="P1554" s="27"/>
      <c r="Q1554" s="27"/>
      <c r="R1554" s="27"/>
    </row>
    <row r="1555" spans="1:18">
      <c r="A1555" s="28"/>
      <c r="B1555" s="29"/>
      <c r="C1555" s="29"/>
      <c r="D1555" s="29"/>
      <c r="E1555" s="29"/>
      <c r="H1555" s="27"/>
      <c r="K1555"/>
      <c r="P1555" s="27"/>
      <c r="Q1555" s="27"/>
      <c r="R1555" s="27"/>
    </row>
    <row r="1556" spans="1:18">
      <c r="A1556" s="28"/>
      <c r="B1556" s="29"/>
      <c r="C1556" s="29"/>
      <c r="D1556" s="29"/>
      <c r="E1556" s="29"/>
      <c r="H1556" s="27"/>
      <c r="K1556"/>
      <c r="P1556" s="27"/>
      <c r="Q1556" s="27"/>
      <c r="R1556" s="27"/>
    </row>
    <row r="1557" spans="1:18">
      <c r="A1557" s="28"/>
      <c r="B1557" s="29"/>
      <c r="C1557" s="29"/>
      <c r="D1557" s="29"/>
      <c r="E1557" s="29"/>
      <c r="H1557" s="27"/>
      <c r="K1557"/>
      <c r="P1557" s="27"/>
      <c r="Q1557" s="27"/>
      <c r="R1557" s="27"/>
    </row>
    <row r="1558" spans="1:18">
      <c r="A1558" s="28"/>
      <c r="B1558" s="29"/>
      <c r="C1558" s="29"/>
      <c r="D1558" s="29"/>
      <c r="E1558" s="29"/>
      <c r="H1558" s="27"/>
      <c r="K1558"/>
      <c r="P1558" s="27"/>
      <c r="Q1558" s="27"/>
      <c r="R1558" s="27"/>
    </row>
    <row r="1559" spans="1:18">
      <c r="A1559" s="28"/>
      <c r="B1559" s="29"/>
      <c r="C1559" s="29"/>
      <c r="D1559" s="29"/>
      <c r="E1559" s="29"/>
      <c r="H1559" s="27"/>
      <c r="K1559"/>
      <c r="P1559" s="27"/>
      <c r="Q1559" s="27"/>
      <c r="R1559" s="27"/>
    </row>
    <row r="1560" spans="1:18">
      <c r="A1560" s="28"/>
      <c r="B1560" s="29"/>
      <c r="C1560" s="29"/>
      <c r="D1560" s="29"/>
      <c r="E1560" s="29"/>
      <c r="H1560" s="27"/>
      <c r="K1560"/>
      <c r="P1560" s="27"/>
      <c r="Q1560" s="27"/>
      <c r="R1560" s="27"/>
    </row>
    <row r="1561" spans="1:18">
      <c r="A1561" s="28"/>
      <c r="B1561" s="29"/>
      <c r="C1561" s="29"/>
      <c r="D1561" s="29"/>
      <c r="E1561" s="29"/>
      <c r="H1561" s="27"/>
      <c r="K1561"/>
      <c r="P1561" s="27"/>
      <c r="Q1561" s="27"/>
      <c r="R1561" s="27"/>
    </row>
    <row r="1562" spans="1:18">
      <c r="A1562" s="28"/>
      <c r="B1562" s="29"/>
      <c r="C1562" s="29"/>
      <c r="D1562" s="29"/>
      <c r="E1562" s="29"/>
      <c r="H1562" s="27"/>
      <c r="K1562"/>
      <c r="P1562" s="27"/>
      <c r="Q1562" s="27"/>
      <c r="R1562" s="27"/>
    </row>
    <row r="1563" spans="1:18">
      <c r="A1563" s="28"/>
      <c r="B1563" s="29"/>
      <c r="C1563" s="29"/>
      <c r="D1563" s="29"/>
      <c r="E1563" s="29"/>
      <c r="H1563" s="27"/>
      <c r="K1563"/>
      <c r="P1563" s="27"/>
      <c r="Q1563" s="27"/>
      <c r="R1563" s="27"/>
    </row>
    <row r="1564" spans="1:18">
      <c r="A1564" s="28"/>
      <c r="B1564" s="29"/>
      <c r="C1564" s="29"/>
      <c r="D1564" s="29"/>
      <c r="E1564" s="29"/>
      <c r="H1564" s="27"/>
      <c r="K1564"/>
      <c r="P1564" s="27"/>
      <c r="Q1564" s="27"/>
      <c r="R1564" s="27"/>
    </row>
    <row r="1565" spans="1:18">
      <c r="A1565" s="28"/>
      <c r="B1565" s="29"/>
      <c r="C1565" s="29"/>
      <c r="D1565" s="29"/>
      <c r="E1565" s="29"/>
      <c r="H1565" s="27"/>
      <c r="K1565"/>
      <c r="P1565" s="27"/>
      <c r="Q1565" s="27"/>
      <c r="R1565" s="27"/>
    </row>
    <row r="1566" spans="1:18">
      <c r="A1566" s="28"/>
      <c r="B1566" s="29"/>
      <c r="C1566" s="29"/>
      <c r="D1566" s="29"/>
      <c r="E1566" s="29"/>
      <c r="H1566" s="27"/>
      <c r="K1566"/>
      <c r="P1566" s="27"/>
      <c r="Q1566" s="27"/>
      <c r="R1566" s="27"/>
    </row>
    <row r="1567" spans="1:18">
      <c r="A1567" s="28"/>
      <c r="B1567" s="29"/>
      <c r="C1567" s="29"/>
      <c r="D1567" s="29"/>
      <c r="E1567" s="29"/>
      <c r="H1567" s="27"/>
      <c r="K1567"/>
      <c r="P1567" s="27"/>
      <c r="Q1567" s="27"/>
      <c r="R1567" s="27"/>
    </row>
    <row r="1568" spans="1:18">
      <c r="A1568" s="28"/>
      <c r="B1568" s="29"/>
      <c r="C1568" s="29"/>
      <c r="D1568" s="29"/>
      <c r="E1568" s="29"/>
      <c r="H1568" s="27"/>
      <c r="K1568"/>
      <c r="P1568" s="27"/>
      <c r="Q1568" s="27"/>
      <c r="R1568" s="27"/>
    </row>
    <row r="1569" spans="1:18">
      <c r="A1569" s="28"/>
      <c r="B1569" s="29"/>
      <c r="C1569" s="29"/>
      <c r="D1569" s="29"/>
      <c r="E1569" s="29"/>
      <c r="H1569" s="27"/>
      <c r="K1569"/>
      <c r="P1569" s="27"/>
      <c r="Q1569" s="27"/>
      <c r="R1569" s="27"/>
    </row>
    <row r="1570" spans="1:18">
      <c r="A1570" s="28"/>
      <c r="B1570" s="29"/>
      <c r="C1570" s="29"/>
      <c r="D1570" s="29"/>
      <c r="E1570" s="29"/>
      <c r="H1570" s="27"/>
      <c r="K1570"/>
      <c r="P1570" s="27"/>
      <c r="Q1570" s="27"/>
      <c r="R1570" s="27"/>
    </row>
    <row r="1571" spans="1:18">
      <c r="A1571" s="28"/>
      <c r="B1571" s="29"/>
      <c r="C1571" s="29"/>
      <c r="D1571" s="29"/>
      <c r="E1571" s="29"/>
      <c r="H1571" s="27"/>
      <c r="K1571"/>
      <c r="P1571" s="27"/>
      <c r="Q1571" s="27"/>
      <c r="R1571" s="27"/>
    </row>
    <row r="1572" spans="1:18">
      <c r="A1572" s="28"/>
      <c r="B1572" s="29"/>
      <c r="C1572" s="29"/>
      <c r="D1572" s="29"/>
      <c r="E1572" s="29"/>
      <c r="H1572" s="27"/>
      <c r="K1572"/>
      <c r="P1572" s="27"/>
      <c r="Q1572" s="27"/>
      <c r="R1572" s="27"/>
    </row>
    <row r="1573" spans="1:18">
      <c r="A1573" s="28"/>
      <c r="B1573" s="29"/>
      <c r="C1573" s="29"/>
      <c r="D1573" s="29"/>
      <c r="E1573" s="29"/>
      <c r="H1573" s="27"/>
      <c r="K1573"/>
      <c r="P1573" s="27"/>
      <c r="Q1573" s="27"/>
      <c r="R1573" s="27"/>
    </row>
    <row r="1574" spans="1:18">
      <c r="A1574" s="28"/>
      <c r="B1574" s="29"/>
      <c r="C1574" s="29"/>
      <c r="D1574" s="29"/>
      <c r="E1574" s="29"/>
      <c r="H1574" s="27"/>
      <c r="K1574"/>
      <c r="P1574" s="27"/>
      <c r="Q1574" s="27"/>
      <c r="R1574" s="27"/>
    </row>
    <row r="1575" spans="1:18">
      <c r="A1575" s="28"/>
      <c r="B1575" s="29"/>
      <c r="C1575" s="29"/>
      <c r="D1575" s="29"/>
      <c r="E1575" s="29"/>
      <c r="H1575" s="27"/>
      <c r="K1575"/>
      <c r="P1575" s="27"/>
      <c r="Q1575" s="27"/>
      <c r="R1575" s="27"/>
    </row>
    <row r="1576" spans="1:18">
      <c r="A1576" s="28"/>
      <c r="B1576" s="29"/>
      <c r="C1576" s="29"/>
      <c r="D1576" s="29"/>
      <c r="E1576" s="29"/>
      <c r="H1576" s="27"/>
      <c r="K1576"/>
      <c r="P1576" s="27"/>
      <c r="Q1576" s="27"/>
      <c r="R1576" s="27"/>
    </row>
    <row r="1577" spans="1:18">
      <c r="A1577" s="28"/>
      <c r="B1577" s="29"/>
      <c r="C1577" s="29"/>
      <c r="D1577" s="29"/>
      <c r="E1577" s="29"/>
      <c r="H1577" s="27"/>
      <c r="K1577"/>
      <c r="P1577" s="27"/>
      <c r="Q1577" s="27"/>
      <c r="R1577" s="27"/>
    </row>
    <row r="1578" spans="1:18">
      <c r="A1578" s="28"/>
      <c r="B1578" s="29"/>
      <c r="C1578" s="29"/>
      <c r="D1578" s="29"/>
      <c r="E1578" s="29"/>
      <c r="H1578" s="27"/>
      <c r="K1578"/>
      <c r="P1578" s="27"/>
      <c r="Q1578" s="27"/>
      <c r="R1578" s="27"/>
    </row>
    <row r="1579" spans="1:18">
      <c r="A1579" s="28"/>
      <c r="B1579" s="29"/>
      <c r="C1579" s="29"/>
      <c r="D1579" s="29"/>
      <c r="E1579" s="29"/>
      <c r="H1579" s="27"/>
      <c r="K1579"/>
      <c r="P1579" s="27"/>
      <c r="Q1579" s="27"/>
      <c r="R1579" s="27"/>
    </row>
    <row r="1580" spans="1:18">
      <c r="A1580" s="28"/>
      <c r="B1580" s="29"/>
      <c r="C1580" s="29"/>
      <c r="D1580" s="29"/>
      <c r="E1580" s="29"/>
      <c r="H1580" s="27"/>
      <c r="K1580"/>
      <c r="P1580" s="27"/>
      <c r="Q1580" s="27"/>
      <c r="R1580" s="27"/>
    </row>
    <row r="1581" spans="1:18">
      <c r="A1581" s="28"/>
      <c r="B1581" s="29"/>
      <c r="C1581" s="29"/>
      <c r="D1581" s="29"/>
      <c r="E1581" s="29"/>
      <c r="H1581" s="27"/>
      <c r="K1581"/>
      <c r="P1581" s="27"/>
      <c r="Q1581" s="27"/>
      <c r="R1581" s="27"/>
    </row>
    <row r="1582" spans="1:18">
      <c r="A1582" s="28"/>
      <c r="B1582" s="29"/>
      <c r="C1582" s="29"/>
      <c r="D1582" s="29"/>
      <c r="E1582" s="29"/>
      <c r="H1582" s="27"/>
      <c r="K1582"/>
      <c r="P1582" s="27"/>
      <c r="Q1582" s="27"/>
      <c r="R1582" s="27"/>
    </row>
    <row r="1583" spans="1:18">
      <c r="A1583" s="28"/>
      <c r="B1583" s="29"/>
      <c r="C1583" s="29"/>
      <c r="D1583" s="29"/>
      <c r="E1583" s="29"/>
      <c r="H1583" s="27"/>
      <c r="K1583"/>
      <c r="P1583" s="27"/>
      <c r="Q1583" s="27"/>
      <c r="R1583" s="27"/>
    </row>
    <row r="1584" spans="1:18">
      <c r="A1584" s="28"/>
      <c r="B1584" s="29"/>
      <c r="C1584" s="29"/>
      <c r="D1584" s="29"/>
      <c r="E1584" s="29"/>
      <c r="H1584" s="27"/>
      <c r="K1584"/>
      <c r="P1584" s="27"/>
      <c r="Q1584" s="27"/>
      <c r="R1584" s="27"/>
    </row>
    <row r="1585" spans="1:18">
      <c r="A1585" s="28"/>
      <c r="B1585" s="29"/>
      <c r="C1585" s="29"/>
      <c r="D1585" s="29"/>
      <c r="E1585" s="29"/>
      <c r="H1585" s="27"/>
      <c r="K1585"/>
      <c r="P1585" s="27"/>
      <c r="Q1585" s="27"/>
      <c r="R1585" s="27"/>
    </row>
    <row r="1586" spans="1:18">
      <c r="A1586" s="28"/>
      <c r="B1586" s="29"/>
      <c r="C1586" s="29"/>
      <c r="D1586" s="29"/>
      <c r="E1586" s="29"/>
      <c r="H1586" s="27"/>
      <c r="K1586"/>
      <c r="P1586" s="27"/>
      <c r="Q1586" s="27"/>
      <c r="R1586" s="27"/>
    </row>
    <row r="1587" spans="1:18">
      <c r="A1587" s="28"/>
      <c r="B1587" s="29"/>
      <c r="C1587" s="29"/>
      <c r="D1587" s="29"/>
      <c r="E1587" s="29"/>
      <c r="H1587" s="27"/>
      <c r="K1587"/>
      <c r="P1587" s="27"/>
      <c r="Q1587" s="27"/>
      <c r="R1587" s="27"/>
    </row>
    <row r="1588" spans="1:18">
      <c r="A1588" s="28"/>
      <c r="B1588" s="29"/>
      <c r="C1588" s="29"/>
      <c r="D1588" s="29"/>
      <c r="E1588" s="29"/>
      <c r="H1588" s="27"/>
      <c r="K1588"/>
      <c r="P1588" s="27"/>
      <c r="Q1588" s="27"/>
      <c r="R1588" s="27"/>
    </row>
    <row r="1589" spans="1:18">
      <c r="A1589" s="28"/>
      <c r="B1589" s="29"/>
      <c r="C1589" s="29"/>
      <c r="D1589" s="29"/>
      <c r="E1589" s="29"/>
      <c r="H1589" s="27"/>
      <c r="K1589"/>
      <c r="P1589" s="27"/>
      <c r="Q1589" s="27"/>
      <c r="R1589" s="27"/>
    </row>
    <row r="1590" spans="1:18">
      <c r="A1590" s="28"/>
      <c r="B1590" s="29"/>
      <c r="C1590" s="29"/>
      <c r="D1590" s="29"/>
      <c r="E1590" s="29"/>
      <c r="H1590" s="27"/>
      <c r="K1590"/>
      <c r="P1590" s="27"/>
      <c r="Q1590" s="27"/>
      <c r="R1590" s="27"/>
    </row>
    <row r="1591" spans="1:18">
      <c r="A1591" s="28"/>
      <c r="B1591" s="29"/>
      <c r="C1591" s="29"/>
      <c r="D1591" s="29"/>
      <c r="E1591" s="29"/>
      <c r="H1591" s="27"/>
      <c r="K1591"/>
      <c r="P1591" s="27"/>
      <c r="Q1591" s="27"/>
      <c r="R1591" s="27"/>
    </row>
    <row r="1592" spans="1:18">
      <c r="A1592" s="28"/>
      <c r="B1592" s="29"/>
      <c r="C1592" s="29"/>
      <c r="D1592" s="29"/>
      <c r="E1592" s="29"/>
      <c r="H1592" s="27"/>
      <c r="K1592"/>
      <c r="P1592" s="27"/>
      <c r="Q1592" s="27"/>
      <c r="R1592" s="27"/>
    </row>
    <row r="1593" spans="1:18">
      <c r="A1593" s="28"/>
      <c r="B1593" s="29"/>
      <c r="C1593" s="29"/>
      <c r="D1593" s="29"/>
      <c r="E1593" s="29"/>
      <c r="H1593" s="27"/>
      <c r="K1593"/>
      <c r="P1593" s="27"/>
      <c r="Q1593" s="27"/>
      <c r="R1593" s="27"/>
    </row>
    <row r="1594" spans="1:18">
      <c r="A1594" s="28"/>
      <c r="B1594" s="29"/>
      <c r="C1594" s="29"/>
      <c r="D1594" s="29"/>
      <c r="E1594" s="29"/>
      <c r="H1594" s="27"/>
      <c r="K1594"/>
      <c r="P1594" s="27"/>
      <c r="Q1594" s="27"/>
      <c r="R1594" s="27"/>
    </row>
    <row r="1595" spans="1:18">
      <c r="A1595" s="28"/>
      <c r="B1595" s="29"/>
      <c r="C1595" s="29"/>
      <c r="D1595" s="29"/>
      <c r="E1595" s="29"/>
      <c r="H1595" s="27"/>
      <c r="K1595"/>
      <c r="P1595" s="27"/>
      <c r="Q1595" s="27"/>
      <c r="R1595" s="27"/>
    </row>
    <row r="1596" spans="1:18">
      <c r="A1596" s="28"/>
      <c r="B1596" s="29"/>
      <c r="C1596" s="29"/>
      <c r="D1596" s="29"/>
      <c r="E1596" s="29"/>
      <c r="H1596" s="27"/>
      <c r="K1596"/>
      <c r="P1596" s="27"/>
      <c r="Q1596" s="27"/>
      <c r="R1596" s="27"/>
    </row>
    <row r="1597" spans="1:18">
      <c r="A1597" s="28"/>
      <c r="B1597" s="29"/>
      <c r="C1597" s="29"/>
      <c r="D1597" s="29"/>
      <c r="E1597" s="29"/>
      <c r="H1597" s="27"/>
      <c r="K1597"/>
      <c r="P1597" s="27"/>
      <c r="Q1597" s="27"/>
      <c r="R1597" s="27"/>
    </row>
    <row r="1598" spans="1:18">
      <c r="A1598" s="28"/>
      <c r="B1598" s="29"/>
      <c r="C1598" s="29"/>
      <c r="D1598" s="29"/>
      <c r="E1598" s="29"/>
      <c r="H1598" s="27"/>
      <c r="K1598"/>
      <c r="P1598" s="27"/>
      <c r="Q1598" s="27"/>
      <c r="R1598" s="27"/>
    </row>
    <row r="1599" spans="1:18">
      <c r="A1599" s="28"/>
      <c r="B1599" s="29"/>
      <c r="C1599" s="29"/>
      <c r="D1599" s="29"/>
      <c r="E1599" s="29"/>
      <c r="H1599" s="27"/>
      <c r="K1599"/>
      <c r="P1599" s="27"/>
      <c r="Q1599" s="27"/>
      <c r="R1599" s="27"/>
    </row>
    <row r="1600" spans="1:18">
      <c r="A1600" s="28"/>
      <c r="B1600" s="29"/>
      <c r="C1600" s="29"/>
      <c r="D1600" s="29"/>
      <c r="E1600" s="29"/>
      <c r="H1600" s="27"/>
      <c r="K1600"/>
      <c r="P1600" s="27"/>
      <c r="Q1600" s="27"/>
      <c r="R1600" s="27"/>
    </row>
    <row r="1601" spans="1:18">
      <c r="A1601" s="28"/>
      <c r="B1601" s="29"/>
      <c r="C1601" s="29"/>
      <c r="D1601" s="29"/>
      <c r="E1601" s="29"/>
      <c r="H1601" s="27"/>
      <c r="K1601"/>
      <c r="P1601" s="27"/>
      <c r="Q1601" s="27"/>
      <c r="R1601" s="27"/>
    </row>
    <row r="1602" spans="1:18">
      <c r="A1602" s="28"/>
      <c r="B1602" s="29"/>
      <c r="C1602" s="29"/>
      <c r="D1602" s="29"/>
      <c r="E1602" s="29"/>
      <c r="H1602" s="27"/>
      <c r="K1602"/>
      <c r="P1602" s="27"/>
      <c r="Q1602" s="27"/>
      <c r="R1602" s="27"/>
    </row>
    <row r="1603" spans="1:18">
      <c r="A1603" s="28"/>
      <c r="B1603" s="29"/>
      <c r="C1603" s="29"/>
      <c r="D1603" s="29"/>
      <c r="E1603" s="29"/>
      <c r="H1603" s="27"/>
      <c r="K1603"/>
      <c r="P1603" s="27"/>
      <c r="Q1603" s="27"/>
      <c r="R1603" s="27"/>
    </row>
    <row r="1604" spans="1:18">
      <c r="A1604" s="28"/>
      <c r="B1604" s="29"/>
      <c r="C1604" s="29"/>
      <c r="D1604" s="29"/>
      <c r="E1604" s="29"/>
      <c r="H1604" s="27"/>
      <c r="K1604"/>
      <c r="P1604" s="27"/>
      <c r="Q1604" s="27"/>
      <c r="R1604" s="27"/>
    </row>
    <row r="1605" spans="1:18">
      <c r="A1605" s="28"/>
      <c r="B1605" s="29"/>
      <c r="C1605" s="29"/>
      <c r="D1605" s="29"/>
      <c r="E1605" s="29"/>
      <c r="H1605" s="27"/>
      <c r="K1605"/>
      <c r="P1605" s="27"/>
      <c r="Q1605" s="27"/>
      <c r="R1605" s="27"/>
    </row>
    <row r="1606" spans="1:18">
      <c r="A1606" s="28"/>
      <c r="B1606" s="29"/>
      <c r="C1606" s="29"/>
      <c r="D1606" s="29"/>
      <c r="E1606" s="29"/>
      <c r="H1606" s="27"/>
      <c r="K1606"/>
      <c r="P1606" s="27"/>
      <c r="Q1606" s="27"/>
      <c r="R1606" s="27"/>
    </row>
    <row r="1607" spans="1:18">
      <c r="A1607" s="28"/>
      <c r="B1607" s="29"/>
      <c r="C1607" s="29"/>
      <c r="D1607" s="29"/>
      <c r="E1607" s="29"/>
      <c r="H1607" s="27"/>
      <c r="K1607"/>
      <c r="P1607" s="27"/>
      <c r="Q1607" s="27"/>
      <c r="R1607" s="27"/>
    </row>
    <row r="1608" spans="1:18">
      <c r="A1608" s="28"/>
      <c r="B1608" s="29"/>
      <c r="C1608" s="29"/>
      <c r="D1608" s="29"/>
      <c r="E1608" s="29"/>
      <c r="H1608" s="27"/>
      <c r="K1608"/>
      <c r="P1608" s="27"/>
      <c r="Q1608" s="27"/>
      <c r="R1608" s="27"/>
    </row>
    <row r="1609" spans="1:18">
      <c r="A1609" s="28"/>
      <c r="B1609" s="29"/>
      <c r="C1609" s="29"/>
      <c r="D1609" s="29"/>
      <c r="E1609" s="29"/>
      <c r="H1609" s="27"/>
      <c r="K1609"/>
      <c r="P1609" s="27"/>
      <c r="Q1609" s="27"/>
      <c r="R1609" s="27"/>
    </row>
    <row r="1610" spans="1:18">
      <c r="A1610" s="28"/>
      <c r="B1610" s="29"/>
      <c r="C1610" s="29"/>
      <c r="D1610" s="29"/>
      <c r="E1610" s="29"/>
      <c r="H1610" s="27"/>
      <c r="K1610"/>
      <c r="P1610" s="27"/>
      <c r="Q1610" s="27"/>
      <c r="R1610" s="27"/>
    </row>
    <row r="1611" spans="1:18">
      <c r="A1611" s="28"/>
      <c r="B1611" s="29"/>
      <c r="C1611" s="29"/>
      <c r="D1611" s="29"/>
      <c r="E1611" s="29"/>
      <c r="H1611" s="27"/>
      <c r="K1611"/>
      <c r="P1611" s="27"/>
      <c r="Q1611" s="27"/>
      <c r="R1611" s="27"/>
    </row>
    <row r="1612" spans="1:18">
      <c r="A1612" s="28"/>
      <c r="B1612" s="29"/>
      <c r="C1612" s="29"/>
      <c r="D1612" s="29"/>
      <c r="E1612" s="29"/>
      <c r="H1612" s="27"/>
      <c r="K1612"/>
      <c r="P1612" s="27"/>
      <c r="Q1612" s="27"/>
      <c r="R1612" s="27"/>
    </row>
    <row r="1613" spans="1:18">
      <c r="A1613" s="28"/>
      <c r="B1613" s="29"/>
      <c r="C1613" s="29"/>
      <c r="D1613" s="29"/>
      <c r="E1613" s="29"/>
      <c r="H1613" s="27"/>
      <c r="K1613"/>
      <c r="P1613" s="27"/>
      <c r="Q1613" s="27"/>
      <c r="R1613" s="27"/>
    </row>
    <row r="1614" spans="1:18">
      <c r="A1614" s="28"/>
      <c r="B1614" s="29"/>
      <c r="C1614" s="29"/>
      <c r="D1614" s="29"/>
      <c r="E1614" s="29"/>
      <c r="H1614" s="27"/>
      <c r="K1614"/>
      <c r="P1614" s="27"/>
      <c r="Q1614" s="27"/>
      <c r="R1614" s="27"/>
    </row>
    <row r="1615" spans="1:18">
      <c r="A1615" s="28"/>
      <c r="B1615" s="29"/>
      <c r="C1615" s="29"/>
      <c r="D1615" s="29"/>
      <c r="E1615" s="29"/>
      <c r="H1615" s="27"/>
      <c r="K1615"/>
      <c r="P1615" s="27"/>
      <c r="Q1615" s="27"/>
      <c r="R1615" s="27"/>
    </row>
    <row r="1616" spans="1:18">
      <c r="A1616" s="28"/>
      <c r="B1616" s="29"/>
      <c r="C1616" s="29"/>
      <c r="D1616" s="29"/>
      <c r="E1616" s="29"/>
      <c r="H1616" s="27"/>
      <c r="K1616"/>
      <c r="P1616" s="27"/>
      <c r="Q1616" s="27"/>
      <c r="R1616" s="27"/>
    </row>
    <row r="1617" spans="1:18">
      <c r="A1617" s="28"/>
      <c r="B1617" s="29"/>
      <c r="C1617" s="29"/>
      <c r="D1617" s="29"/>
      <c r="E1617" s="29"/>
      <c r="H1617" s="27"/>
      <c r="K1617"/>
      <c r="P1617" s="27"/>
      <c r="Q1617" s="27"/>
      <c r="R1617" s="27"/>
    </row>
    <row r="1618" spans="1:18">
      <c r="A1618" s="28"/>
      <c r="B1618" s="29"/>
      <c r="C1618" s="29"/>
      <c r="D1618" s="29"/>
      <c r="E1618" s="29"/>
      <c r="H1618" s="27"/>
      <c r="K1618"/>
      <c r="P1618" s="27"/>
      <c r="Q1618" s="27"/>
      <c r="R1618" s="27"/>
    </row>
    <row r="1619" spans="1:18">
      <c r="A1619" s="28"/>
      <c r="B1619" s="29"/>
      <c r="C1619" s="29"/>
      <c r="D1619" s="29"/>
      <c r="E1619" s="29"/>
      <c r="H1619" s="27"/>
      <c r="K1619"/>
      <c r="P1619" s="27"/>
      <c r="Q1619" s="27"/>
      <c r="R1619" s="27"/>
    </row>
    <row r="1620" spans="1:18">
      <c r="A1620" s="28"/>
      <c r="B1620" s="29"/>
      <c r="C1620" s="29"/>
      <c r="D1620" s="29"/>
      <c r="E1620" s="29"/>
      <c r="H1620" s="27"/>
      <c r="K1620"/>
      <c r="P1620" s="27"/>
      <c r="Q1620" s="27"/>
      <c r="R1620" s="27"/>
    </row>
    <row r="1621" spans="1:18">
      <c r="A1621" s="28"/>
      <c r="B1621" s="29"/>
      <c r="C1621" s="29"/>
      <c r="D1621" s="29"/>
      <c r="E1621" s="29"/>
      <c r="H1621" s="27"/>
      <c r="K1621"/>
      <c r="P1621" s="27"/>
      <c r="Q1621" s="27"/>
      <c r="R1621" s="27"/>
    </row>
    <row r="1622" spans="1:18">
      <c r="A1622" s="28"/>
      <c r="B1622" s="29"/>
      <c r="C1622" s="29"/>
      <c r="D1622" s="29"/>
      <c r="E1622" s="29"/>
      <c r="H1622" s="27"/>
      <c r="K1622"/>
      <c r="P1622" s="27"/>
      <c r="Q1622" s="27"/>
      <c r="R1622" s="27"/>
    </row>
    <row r="1623" spans="1:18">
      <c r="A1623" s="28"/>
      <c r="B1623" s="29"/>
      <c r="C1623" s="29"/>
      <c r="D1623" s="29"/>
      <c r="E1623" s="29"/>
      <c r="H1623" s="27"/>
      <c r="K1623"/>
      <c r="P1623" s="27"/>
      <c r="Q1623" s="27"/>
      <c r="R1623" s="27"/>
    </row>
    <row r="1624" spans="1:18">
      <c r="A1624" s="28"/>
      <c r="B1624" s="29"/>
      <c r="C1624" s="29"/>
      <c r="D1624" s="29"/>
      <c r="E1624" s="29"/>
      <c r="H1624" s="27"/>
      <c r="K1624"/>
      <c r="P1624" s="27"/>
      <c r="Q1624" s="27"/>
      <c r="R1624" s="27"/>
    </row>
    <row r="1625" spans="1:18">
      <c r="A1625" s="28"/>
      <c r="B1625" s="29"/>
      <c r="C1625" s="29"/>
      <c r="D1625" s="29"/>
      <c r="E1625" s="29"/>
      <c r="H1625" s="27"/>
      <c r="K1625"/>
      <c r="P1625" s="27"/>
      <c r="Q1625" s="27"/>
      <c r="R1625" s="27"/>
    </row>
    <row r="1626" spans="1:18">
      <c r="A1626" s="28"/>
      <c r="B1626" s="29"/>
      <c r="C1626" s="29"/>
      <c r="D1626" s="29"/>
      <c r="E1626" s="29"/>
      <c r="H1626" s="27"/>
      <c r="K1626"/>
      <c r="P1626" s="27"/>
      <c r="Q1626" s="27"/>
      <c r="R1626" s="27"/>
    </row>
    <row r="1627" spans="1:18">
      <c r="A1627" s="28"/>
      <c r="B1627" s="29"/>
      <c r="C1627" s="29"/>
      <c r="D1627" s="29"/>
      <c r="E1627" s="29"/>
      <c r="H1627" s="27"/>
      <c r="K1627"/>
      <c r="P1627" s="27"/>
      <c r="Q1627" s="27"/>
      <c r="R1627" s="27"/>
    </row>
    <row r="1628" spans="1:18">
      <c r="A1628" s="28"/>
      <c r="B1628" s="29"/>
      <c r="C1628" s="29"/>
      <c r="D1628" s="29"/>
      <c r="E1628" s="29"/>
      <c r="H1628" s="27"/>
      <c r="K1628"/>
      <c r="P1628" s="27"/>
      <c r="Q1628" s="27"/>
      <c r="R1628" s="27"/>
    </row>
    <row r="1629" spans="1:18">
      <c r="A1629" s="28"/>
      <c r="B1629" s="29"/>
      <c r="C1629" s="29"/>
      <c r="D1629" s="29"/>
      <c r="E1629" s="29"/>
      <c r="H1629" s="27"/>
      <c r="K1629"/>
      <c r="P1629" s="27"/>
      <c r="Q1629" s="27"/>
      <c r="R1629" s="27"/>
    </row>
    <row r="1630" spans="1:18">
      <c r="A1630" s="28"/>
      <c r="B1630" s="29"/>
      <c r="C1630" s="29"/>
      <c r="D1630" s="29"/>
      <c r="E1630" s="29"/>
      <c r="H1630" s="27"/>
      <c r="K1630"/>
      <c r="P1630" s="27"/>
      <c r="Q1630" s="27"/>
      <c r="R1630" s="27"/>
    </row>
    <row r="1631" spans="1:18">
      <c r="A1631" s="28"/>
      <c r="B1631" s="29"/>
      <c r="C1631" s="29"/>
      <c r="D1631" s="29"/>
      <c r="E1631" s="29"/>
      <c r="H1631" s="27"/>
      <c r="K1631"/>
      <c r="P1631" s="27"/>
      <c r="Q1631" s="27"/>
      <c r="R1631" s="27"/>
    </row>
    <row r="1632" spans="1:18">
      <c r="A1632" s="28"/>
      <c r="B1632" s="29"/>
      <c r="C1632" s="29"/>
      <c r="D1632" s="29"/>
      <c r="E1632" s="29"/>
      <c r="H1632" s="27"/>
      <c r="K1632"/>
      <c r="P1632" s="27"/>
      <c r="Q1632" s="27"/>
      <c r="R1632" s="27"/>
    </row>
    <row r="1633" spans="1:18">
      <c r="A1633" s="28"/>
      <c r="B1633" s="29"/>
      <c r="C1633" s="29"/>
      <c r="D1633" s="29"/>
      <c r="E1633" s="29"/>
      <c r="H1633" s="27"/>
      <c r="K1633"/>
      <c r="P1633" s="27"/>
      <c r="Q1633" s="27"/>
      <c r="R1633" s="27"/>
    </row>
    <row r="1634" spans="1:18">
      <c r="A1634" s="28"/>
      <c r="B1634" s="29"/>
      <c r="C1634" s="29"/>
      <c r="D1634" s="29"/>
      <c r="E1634" s="29"/>
      <c r="H1634" s="27"/>
      <c r="K1634"/>
      <c r="P1634" s="27"/>
      <c r="Q1634" s="27"/>
      <c r="R1634" s="27"/>
    </row>
    <row r="1635" spans="1:18">
      <c r="A1635" s="28"/>
      <c r="B1635" s="29"/>
      <c r="C1635" s="29"/>
      <c r="D1635" s="29"/>
      <c r="E1635" s="29"/>
      <c r="H1635" s="27"/>
      <c r="K1635"/>
      <c r="P1635" s="27"/>
      <c r="Q1635" s="27"/>
      <c r="R1635" s="27"/>
    </row>
    <row r="1636" spans="1:18">
      <c r="A1636" s="28"/>
      <c r="B1636" s="29"/>
      <c r="C1636" s="29"/>
      <c r="D1636" s="29"/>
      <c r="E1636" s="29"/>
      <c r="H1636" s="27"/>
      <c r="K1636"/>
      <c r="P1636" s="27"/>
      <c r="Q1636" s="27"/>
      <c r="R1636" s="27"/>
    </row>
    <row r="1637" spans="1:18">
      <c r="A1637" s="28"/>
      <c r="B1637" s="29"/>
      <c r="C1637" s="29"/>
      <c r="D1637" s="29"/>
      <c r="E1637" s="29"/>
      <c r="H1637" s="27"/>
      <c r="K1637"/>
      <c r="P1637" s="27"/>
      <c r="Q1637" s="27"/>
      <c r="R1637" s="27"/>
    </row>
    <row r="1638" spans="1:18">
      <c r="A1638" s="28"/>
      <c r="B1638" s="29"/>
      <c r="C1638" s="29"/>
      <c r="D1638" s="29"/>
      <c r="E1638" s="29"/>
      <c r="H1638" s="27"/>
      <c r="K1638"/>
      <c r="P1638" s="27"/>
      <c r="Q1638" s="27"/>
      <c r="R1638" s="27"/>
    </row>
    <row r="1639" spans="1:18">
      <c r="A1639" s="28"/>
      <c r="B1639" s="29"/>
      <c r="C1639" s="29"/>
      <c r="D1639" s="29"/>
      <c r="E1639" s="29"/>
      <c r="H1639" s="27"/>
      <c r="K1639"/>
      <c r="P1639" s="27"/>
      <c r="Q1639" s="27"/>
      <c r="R1639" s="27"/>
    </row>
    <row r="1640" spans="1:18">
      <c r="A1640" s="28"/>
      <c r="B1640" s="29"/>
      <c r="C1640" s="29"/>
      <c r="D1640" s="29"/>
      <c r="E1640" s="29"/>
      <c r="H1640" s="27"/>
      <c r="K1640"/>
      <c r="P1640" s="27"/>
      <c r="Q1640" s="27"/>
      <c r="R1640" s="27"/>
    </row>
    <row r="1641" spans="1:18">
      <c r="A1641" s="28"/>
      <c r="B1641" s="29"/>
      <c r="C1641" s="29"/>
      <c r="D1641" s="29"/>
      <c r="E1641" s="29"/>
      <c r="H1641" s="27"/>
      <c r="K1641"/>
      <c r="P1641" s="27"/>
      <c r="Q1641" s="27"/>
      <c r="R1641" s="27"/>
    </row>
    <row r="1642" spans="1:18">
      <c r="A1642" s="28"/>
      <c r="B1642" s="29"/>
      <c r="C1642" s="29"/>
      <c r="D1642" s="29"/>
      <c r="E1642" s="29"/>
      <c r="H1642" s="27"/>
      <c r="K1642"/>
      <c r="P1642" s="27"/>
      <c r="Q1642" s="27"/>
      <c r="R1642" s="27"/>
    </row>
    <row r="1643" spans="1:18">
      <c r="A1643" s="28"/>
      <c r="B1643" s="29"/>
      <c r="C1643" s="29"/>
      <c r="D1643" s="29"/>
      <c r="E1643" s="29"/>
      <c r="H1643" s="27"/>
      <c r="K1643"/>
      <c r="P1643" s="27"/>
      <c r="Q1643" s="27"/>
      <c r="R1643" s="27"/>
    </row>
    <row r="1644" spans="1:18">
      <c r="A1644" s="28"/>
      <c r="B1644" s="29"/>
      <c r="C1644" s="29"/>
      <c r="D1644" s="29"/>
      <c r="E1644" s="29"/>
      <c r="H1644" s="27"/>
      <c r="K1644"/>
      <c r="P1644" s="27"/>
      <c r="Q1644" s="27"/>
      <c r="R1644" s="27"/>
    </row>
    <row r="1645" spans="1:18">
      <c r="A1645" s="28"/>
      <c r="B1645" s="29"/>
      <c r="C1645" s="29"/>
      <c r="D1645" s="29"/>
      <c r="E1645" s="29"/>
      <c r="H1645" s="27"/>
      <c r="K1645"/>
      <c r="P1645" s="27"/>
      <c r="Q1645" s="27"/>
      <c r="R1645" s="27"/>
    </row>
    <row r="1646" spans="1:18">
      <c r="A1646" s="28"/>
      <c r="B1646" s="29"/>
      <c r="C1646" s="29"/>
      <c r="D1646" s="29"/>
      <c r="E1646" s="29"/>
      <c r="H1646" s="27"/>
      <c r="K1646"/>
      <c r="P1646" s="27"/>
      <c r="Q1646" s="27"/>
      <c r="R1646" s="27"/>
    </row>
    <row r="1647" spans="1:18">
      <c r="A1647" s="28"/>
      <c r="B1647" s="29"/>
      <c r="C1647" s="29"/>
      <c r="D1647" s="29"/>
      <c r="E1647" s="29"/>
      <c r="H1647" s="27"/>
      <c r="K1647"/>
      <c r="P1647" s="27"/>
      <c r="Q1647" s="27"/>
      <c r="R1647" s="27"/>
    </row>
    <row r="1648" spans="1:18">
      <c r="A1648" s="28"/>
      <c r="B1648" s="29"/>
      <c r="C1648" s="29"/>
      <c r="D1648" s="29"/>
      <c r="E1648" s="29"/>
      <c r="H1648" s="27"/>
      <c r="K1648"/>
      <c r="P1648" s="27"/>
      <c r="Q1648" s="27"/>
      <c r="R1648" s="27"/>
    </row>
    <row r="1649" spans="1:18">
      <c r="A1649" s="28"/>
      <c r="B1649" s="29"/>
      <c r="C1649" s="29"/>
      <c r="D1649" s="29"/>
      <c r="E1649" s="29"/>
      <c r="H1649" s="27"/>
      <c r="K1649"/>
      <c r="P1649" s="27"/>
      <c r="Q1649" s="27"/>
      <c r="R1649" s="27"/>
    </row>
    <row r="1650" spans="1:18">
      <c r="A1650" s="28"/>
      <c r="B1650" s="29"/>
      <c r="C1650" s="29"/>
      <c r="D1650" s="29"/>
      <c r="E1650" s="29"/>
      <c r="H1650" s="27"/>
      <c r="K1650"/>
      <c r="P1650" s="27"/>
      <c r="Q1650" s="27"/>
      <c r="R1650" s="27"/>
    </row>
    <row r="1651" spans="1:18">
      <c r="A1651" s="28"/>
      <c r="B1651" s="29"/>
      <c r="C1651" s="29"/>
      <c r="D1651" s="29"/>
      <c r="E1651" s="29"/>
      <c r="H1651" s="27"/>
      <c r="K1651"/>
      <c r="P1651" s="27"/>
      <c r="Q1651" s="27"/>
      <c r="R1651" s="27"/>
    </row>
    <row r="1652" spans="1:18">
      <c r="A1652" s="28"/>
      <c r="B1652" s="29"/>
      <c r="C1652" s="29"/>
      <c r="D1652" s="29"/>
      <c r="E1652" s="29"/>
      <c r="H1652" s="27"/>
      <c r="K1652"/>
      <c r="P1652" s="27"/>
      <c r="Q1652" s="27"/>
      <c r="R1652" s="27"/>
    </row>
    <row r="1653" spans="1:18">
      <c r="A1653" s="28"/>
      <c r="B1653" s="29"/>
      <c r="C1653" s="29"/>
      <c r="D1653" s="29"/>
      <c r="E1653" s="29"/>
      <c r="H1653" s="27"/>
      <c r="K1653"/>
      <c r="P1653" s="27"/>
      <c r="Q1653" s="27"/>
      <c r="R1653" s="27"/>
    </row>
    <row r="1654" spans="1:18">
      <c r="A1654" s="28"/>
      <c r="B1654" s="29"/>
      <c r="C1654" s="29"/>
      <c r="D1654" s="29"/>
      <c r="E1654" s="29"/>
      <c r="H1654" s="27"/>
      <c r="K1654"/>
      <c r="P1654" s="27"/>
      <c r="Q1654" s="27"/>
      <c r="R1654" s="27"/>
    </row>
    <row r="1655" spans="1:18">
      <c r="A1655" s="28"/>
      <c r="B1655" s="29"/>
      <c r="C1655" s="29"/>
      <c r="D1655" s="29"/>
      <c r="E1655" s="29"/>
      <c r="H1655" s="27"/>
      <c r="K1655"/>
      <c r="P1655" s="27"/>
      <c r="Q1655" s="27"/>
      <c r="R1655" s="27"/>
    </row>
    <row r="1656" spans="1:18">
      <c r="A1656" s="28"/>
      <c r="B1656" s="29"/>
      <c r="C1656" s="29"/>
      <c r="D1656" s="29"/>
      <c r="E1656" s="29"/>
      <c r="H1656" s="27"/>
      <c r="K1656"/>
      <c r="P1656" s="27"/>
      <c r="Q1656" s="27"/>
      <c r="R1656" s="27"/>
    </row>
    <row r="1657" spans="1:18">
      <c r="A1657" s="28"/>
      <c r="B1657" s="29"/>
      <c r="C1657" s="29"/>
      <c r="D1657" s="29"/>
      <c r="E1657" s="29"/>
      <c r="H1657" s="27"/>
      <c r="K1657"/>
      <c r="P1657" s="27"/>
      <c r="Q1657" s="27"/>
      <c r="R1657" s="27"/>
    </row>
    <row r="1658" spans="1:18">
      <c r="A1658" s="28"/>
      <c r="B1658" s="29"/>
      <c r="C1658" s="29"/>
      <c r="D1658" s="29"/>
      <c r="E1658" s="29"/>
      <c r="H1658" s="27"/>
      <c r="K1658"/>
      <c r="P1658" s="27"/>
      <c r="Q1658" s="27"/>
      <c r="R1658" s="27"/>
    </row>
    <row r="1659" spans="1:18">
      <c r="A1659" s="28"/>
      <c r="B1659" s="29"/>
      <c r="C1659" s="29"/>
      <c r="D1659" s="29"/>
      <c r="E1659" s="29"/>
      <c r="H1659" s="27"/>
      <c r="K1659"/>
      <c r="P1659" s="27"/>
      <c r="Q1659" s="27"/>
      <c r="R1659" s="27"/>
    </row>
    <row r="1660" spans="1:18">
      <c r="A1660" s="28"/>
      <c r="B1660" s="29"/>
      <c r="C1660" s="29"/>
      <c r="D1660" s="29"/>
      <c r="E1660" s="29"/>
      <c r="H1660" s="27"/>
      <c r="K1660"/>
      <c r="P1660" s="27"/>
      <c r="Q1660" s="27"/>
      <c r="R1660" s="27"/>
    </row>
    <row r="1661" spans="1:18">
      <c r="A1661" s="28"/>
      <c r="B1661" s="29"/>
      <c r="C1661" s="29"/>
      <c r="D1661" s="29"/>
      <c r="E1661" s="29"/>
      <c r="H1661" s="27"/>
      <c r="K1661"/>
      <c r="P1661" s="27"/>
      <c r="Q1661" s="27"/>
      <c r="R1661" s="27"/>
    </row>
    <row r="1662" spans="1:18">
      <c r="A1662" s="28"/>
      <c r="B1662" s="29"/>
      <c r="C1662" s="29"/>
      <c r="D1662" s="29"/>
      <c r="E1662" s="29"/>
      <c r="H1662" s="27"/>
      <c r="K1662"/>
      <c r="P1662" s="27"/>
      <c r="Q1662" s="27"/>
      <c r="R1662" s="27"/>
    </row>
    <row r="1663" spans="1:18">
      <c r="A1663" s="28"/>
      <c r="B1663" s="29"/>
      <c r="C1663" s="29"/>
      <c r="D1663" s="29"/>
      <c r="E1663" s="29"/>
      <c r="H1663" s="27"/>
      <c r="K1663"/>
      <c r="P1663" s="27"/>
      <c r="Q1663" s="27"/>
      <c r="R1663" s="27"/>
    </row>
    <row r="1664" spans="1:18">
      <c r="A1664" s="28"/>
      <c r="B1664" s="29"/>
      <c r="C1664" s="29"/>
      <c r="D1664" s="29"/>
      <c r="E1664" s="29"/>
      <c r="H1664" s="27"/>
      <c r="K1664"/>
      <c r="P1664" s="27"/>
      <c r="Q1664" s="27"/>
      <c r="R1664" s="27"/>
    </row>
    <row r="1665" spans="1:18">
      <c r="A1665" s="28"/>
      <c r="B1665" s="29"/>
      <c r="C1665" s="29"/>
      <c r="D1665" s="29"/>
      <c r="E1665" s="29"/>
      <c r="H1665" s="27"/>
      <c r="K1665"/>
      <c r="P1665" s="27"/>
      <c r="Q1665" s="27"/>
      <c r="R1665" s="27"/>
    </row>
    <row r="1666" spans="1:18">
      <c r="A1666" s="28"/>
      <c r="B1666" s="29"/>
      <c r="C1666" s="29"/>
      <c r="D1666" s="29"/>
      <c r="E1666" s="29"/>
      <c r="H1666" s="27"/>
      <c r="K1666"/>
      <c r="P1666" s="27"/>
      <c r="Q1666" s="27"/>
      <c r="R1666" s="27"/>
    </row>
    <row r="1667" spans="1:18">
      <c r="A1667" s="28"/>
      <c r="B1667" s="29"/>
      <c r="C1667" s="29"/>
      <c r="D1667" s="29"/>
      <c r="E1667" s="29"/>
      <c r="H1667" s="27"/>
      <c r="K1667"/>
      <c r="P1667" s="27"/>
      <c r="Q1667" s="27"/>
      <c r="R1667" s="27"/>
    </row>
    <row r="1668" spans="1:18">
      <c r="A1668" s="28"/>
      <c r="B1668" s="29"/>
      <c r="C1668" s="29"/>
      <c r="D1668" s="29"/>
      <c r="E1668" s="29"/>
      <c r="H1668" s="27"/>
      <c r="K1668"/>
      <c r="P1668" s="27"/>
      <c r="Q1668" s="27"/>
      <c r="R1668" s="27"/>
    </row>
    <row r="1669" spans="1:18">
      <c r="A1669" s="28"/>
      <c r="B1669" s="29"/>
      <c r="C1669" s="29"/>
      <c r="D1669" s="29"/>
      <c r="E1669" s="29"/>
      <c r="H1669" s="27"/>
      <c r="K1669"/>
      <c r="P1669" s="27"/>
      <c r="Q1669" s="27"/>
      <c r="R1669" s="27"/>
    </row>
    <row r="1670" spans="1:18">
      <c r="A1670" s="28"/>
      <c r="B1670" s="29"/>
      <c r="C1670" s="29"/>
      <c r="D1670" s="29"/>
      <c r="E1670" s="29"/>
      <c r="H1670" s="27"/>
      <c r="K1670"/>
      <c r="P1670" s="27"/>
      <c r="Q1670" s="27"/>
      <c r="R1670" s="27"/>
    </row>
    <row r="1671" spans="1:18">
      <c r="A1671" s="28"/>
      <c r="B1671" s="29"/>
      <c r="C1671" s="29"/>
      <c r="D1671" s="29"/>
      <c r="E1671" s="29"/>
      <c r="H1671" s="27"/>
      <c r="K1671"/>
      <c r="P1671" s="27"/>
      <c r="Q1671" s="27"/>
      <c r="R1671" s="27"/>
    </row>
    <row r="1672" spans="1:18">
      <c r="A1672" s="28"/>
      <c r="B1672" s="29"/>
      <c r="C1672" s="29"/>
      <c r="D1672" s="29"/>
      <c r="E1672" s="29"/>
      <c r="H1672" s="27"/>
      <c r="K1672"/>
      <c r="P1672" s="27"/>
      <c r="Q1672" s="27"/>
      <c r="R1672" s="27"/>
    </row>
    <row r="1673" spans="1:18">
      <c r="A1673" s="28"/>
      <c r="B1673" s="29"/>
      <c r="C1673" s="29"/>
      <c r="D1673" s="29"/>
      <c r="E1673" s="29"/>
      <c r="H1673" s="27"/>
      <c r="K1673"/>
      <c r="P1673" s="27"/>
      <c r="Q1673" s="27"/>
      <c r="R1673" s="27"/>
    </row>
    <row r="1674" spans="1:18">
      <c r="A1674" s="28"/>
      <c r="B1674" s="29"/>
      <c r="C1674" s="29"/>
      <c r="D1674" s="29"/>
      <c r="E1674" s="29"/>
      <c r="H1674" s="27"/>
      <c r="K1674"/>
      <c r="P1674" s="27"/>
      <c r="Q1674" s="27"/>
      <c r="R1674" s="27"/>
    </row>
    <row r="1675" spans="1:18">
      <c r="A1675" s="28"/>
      <c r="B1675" s="29"/>
      <c r="C1675" s="29"/>
      <c r="D1675" s="29"/>
      <c r="E1675" s="29"/>
      <c r="H1675" s="27"/>
      <c r="K1675"/>
      <c r="P1675" s="27"/>
      <c r="Q1675" s="27"/>
      <c r="R1675" s="27"/>
    </row>
    <row r="1676" spans="1:18">
      <c r="A1676" s="28"/>
      <c r="B1676" s="29"/>
      <c r="C1676" s="29"/>
      <c r="D1676" s="29"/>
      <c r="E1676" s="29"/>
      <c r="H1676" s="27"/>
      <c r="K1676"/>
      <c r="P1676" s="27"/>
      <c r="Q1676" s="27"/>
      <c r="R1676" s="27"/>
    </row>
    <row r="1677" spans="1:18">
      <c r="A1677" s="28"/>
      <c r="B1677" s="29"/>
      <c r="C1677" s="29"/>
      <c r="D1677" s="29"/>
      <c r="E1677" s="29"/>
      <c r="H1677" s="27"/>
      <c r="K1677"/>
      <c r="P1677" s="27"/>
      <c r="Q1677" s="27"/>
      <c r="R1677" s="27"/>
    </row>
    <row r="1678" spans="1:18">
      <c r="A1678" s="28"/>
      <c r="B1678" s="29"/>
      <c r="C1678" s="29"/>
      <c r="D1678" s="29"/>
      <c r="E1678" s="29"/>
      <c r="H1678" s="27"/>
      <c r="K1678"/>
      <c r="P1678" s="27"/>
      <c r="Q1678" s="27"/>
      <c r="R1678" s="27"/>
    </row>
    <row r="1679" spans="1:18">
      <c r="A1679" s="28"/>
      <c r="B1679" s="29"/>
      <c r="C1679" s="29"/>
      <c r="D1679" s="29"/>
      <c r="E1679" s="29"/>
      <c r="H1679" s="27"/>
      <c r="K1679"/>
      <c r="P1679" s="27"/>
      <c r="Q1679" s="27"/>
      <c r="R1679" s="27"/>
    </row>
    <row r="1680" spans="1:18">
      <c r="A1680" s="28"/>
      <c r="B1680" s="29"/>
      <c r="C1680" s="29"/>
      <c r="D1680" s="29"/>
      <c r="E1680" s="29"/>
      <c r="H1680" s="27"/>
      <c r="K1680"/>
      <c r="P1680" s="27"/>
      <c r="Q1680" s="27"/>
      <c r="R1680" s="27"/>
    </row>
    <row r="1681" spans="1:18">
      <c r="A1681" s="28"/>
      <c r="B1681" s="29"/>
      <c r="C1681" s="29"/>
      <c r="D1681" s="29"/>
      <c r="E1681" s="29"/>
      <c r="H1681" s="27"/>
      <c r="K1681"/>
      <c r="P1681" s="27"/>
      <c r="Q1681" s="27"/>
      <c r="R1681" s="27"/>
    </row>
    <row r="1682" spans="1:18">
      <c r="A1682" s="28"/>
      <c r="B1682" s="29"/>
      <c r="C1682" s="29"/>
      <c r="D1682" s="29"/>
      <c r="E1682" s="29"/>
      <c r="H1682" s="27"/>
      <c r="K1682"/>
      <c r="P1682" s="27"/>
      <c r="Q1682" s="27"/>
      <c r="R1682" s="27"/>
    </row>
    <row r="1683" spans="1:18">
      <c r="A1683" s="28"/>
      <c r="B1683" s="29"/>
      <c r="C1683" s="29"/>
      <c r="D1683" s="29"/>
      <c r="E1683" s="29"/>
      <c r="H1683" s="27"/>
      <c r="K1683"/>
      <c r="P1683" s="27"/>
      <c r="Q1683" s="27"/>
      <c r="R1683" s="27"/>
    </row>
    <row r="1684" spans="1:18">
      <c r="A1684" s="28"/>
      <c r="B1684" s="29"/>
      <c r="C1684" s="29"/>
      <c r="D1684" s="29"/>
      <c r="E1684" s="29"/>
      <c r="H1684" s="27"/>
      <c r="K1684"/>
      <c r="P1684" s="27"/>
      <c r="Q1684" s="27"/>
      <c r="R1684" s="27"/>
    </row>
    <row r="1685" spans="1:18">
      <c r="A1685" s="28"/>
      <c r="B1685" s="29"/>
      <c r="C1685" s="29"/>
      <c r="D1685" s="29"/>
      <c r="E1685" s="29"/>
      <c r="H1685" s="27"/>
      <c r="K1685"/>
      <c r="P1685" s="27"/>
      <c r="Q1685" s="27"/>
      <c r="R1685" s="27"/>
    </row>
    <row r="1686" spans="1:18">
      <c r="A1686" s="28"/>
      <c r="B1686" s="29"/>
      <c r="C1686" s="29"/>
      <c r="D1686" s="29"/>
      <c r="E1686" s="29"/>
      <c r="H1686" s="27"/>
      <c r="K1686"/>
      <c r="P1686" s="27"/>
      <c r="Q1686" s="27"/>
      <c r="R1686" s="27"/>
    </row>
    <row r="1687" spans="1:18">
      <c r="A1687" s="28"/>
      <c r="B1687" s="29"/>
      <c r="C1687" s="29"/>
      <c r="D1687" s="29"/>
      <c r="E1687" s="29"/>
      <c r="H1687" s="27"/>
      <c r="K1687"/>
      <c r="P1687" s="27"/>
      <c r="Q1687" s="27"/>
      <c r="R1687" s="27"/>
    </row>
    <row r="1688" spans="1:18">
      <c r="A1688" s="28"/>
      <c r="B1688" s="29"/>
      <c r="C1688" s="29"/>
      <c r="D1688" s="29"/>
      <c r="E1688" s="29"/>
      <c r="H1688" s="27"/>
      <c r="K1688"/>
      <c r="P1688" s="27"/>
      <c r="Q1688" s="27"/>
      <c r="R1688" s="27"/>
    </row>
    <row r="1689" spans="1:18">
      <c r="A1689" s="28"/>
      <c r="B1689" s="29"/>
      <c r="C1689" s="29"/>
      <c r="D1689" s="29"/>
      <c r="E1689" s="29"/>
      <c r="H1689" s="27"/>
      <c r="K1689"/>
      <c r="P1689" s="27"/>
      <c r="Q1689" s="27"/>
      <c r="R1689" s="27"/>
    </row>
    <row r="1690" spans="1:18">
      <c r="A1690" s="28"/>
      <c r="B1690" s="29"/>
      <c r="C1690" s="29"/>
      <c r="D1690" s="29"/>
      <c r="E1690" s="29"/>
      <c r="H1690" s="27"/>
      <c r="K1690"/>
      <c r="P1690" s="27"/>
      <c r="Q1690" s="27"/>
      <c r="R1690" s="27"/>
    </row>
    <row r="1691" spans="1:18">
      <c r="A1691" s="28"/>
      <c r="B1691" s="29"/>
      <c r="C1691" s="29"/>
      <c r="D1691" s="29"/>
      <c r="E1691" s="29"/>
      <c r="H1691" s="27"/>
      <c r="K1691"/>
      <c r="P1691" s="27"/>
      <c r="Q1691" s="27"/>
      <c r="R1691" s="27"/>
    </row>
    <row r="1692" spans="1:18">
      <c r="A1692" s="28"/>
      <c r="B1692" s="29"/>
      <c r="C1692" s="29"/>
      <c r="D1692" s="29"/>
      <c r="E1692" s="29"/>
      <c r="H1692" s="27"/>
      <c r="K1692"/>
      <c r="P1692" s="27"/>
      <c r="Q1692" s="27"/>
      <c r="R1692" s="27"/>
    </row>
    <row r="1693" spans="1:18">
      <c r="A1693" s="28"/>
      <c r="B1693" s="29"/>
      <c r="C1693" s="29"/>
      <c r="D1693" s="29"/>
      <c r="E1693" s="29"/>
      <c r="H1693" s="27"/>
      <c r="K1693"/>
      <c r="P1693" s="27"/>
      <c r="Q1693" s="27"/>
      <c r="R1693" s="27"/>
    </row>
    <row r="1694" spans="1:18">
      <c r="A1694" s="28"/>
      <c r="B1694" s="29"/>
      <c r="C1694" s="29"/>
      <c r="D1694" s="29"/>
      <c r="E1694" s="29"/>
      <c r="H1694" s="27"/>
      <c r="K1694"/>
      <c r="P1694" s="27"/>
      <c r="Q1694" s="27"/>
      <c r="R1694" s="27"/>
    </row>
    <row r="1695" spans="1:18">
      <c r="A1695" s="28"/>
      <c r="B1695" s="29"/>
      <c r="C1695" s="29"/>
      <c r="D1695" s="29"/>
      <c r="E1695" s="29"/>
      <c r="H1695" s="27"/>
      <c r="K1695"/>
      <c r="P1695" s="27"/>
      <c r="Q1695" s="27"/>
      <c r="R1695" s="27"/>
    </row>
    <row r="1696" spans="1:18">
      <c r="A1696" s="28"/>
      <c r="B1696" s="29"/>
      <c r="C1696" s="29"/>
      <c r="D1696" s="29"/>
      <c r="E1696" s="29"/>
      <c r="H1696" s="27"/>
      <c r="K1696"/>
      <c r="P1696" s="27"/>
      <c r="Q1696" s="27"/>
      <c r="R1696" s="27"/>
    </row>
    <row r="1697" spans="1:18">
      <c r="A1697" s="28"/>
      <c r="B1697" s="29"/>
      <c r="C1697" s="29"/>
      <c r="D1697" s="29"/>
      <c r="E1697" s="29"/>
      <c r="H1697" s="27"/>
      <c r="K1697"/>
      <c r="P1697" s="27"/>
      <c r="Q1697" s="27"/>
      <c r="R1697" s="27"/>
    </row>
    <row r="1698" spans="1:18">
      <c r="A1698" s="28"/>
      <c r="B1698" s="29"/>
      <c r="C1698" s="29"/>
      <c r="D1698" s="29"/>
      <c r="E1698" s="29"/>
      <c r="H1698" s="27"/>
      <c r="K1698"/>
      <c r="P1698" s="27"/>
      <c r="Q1698" s="27"/>
      <c r="R1698" s="27"/>
    </row>
    <row r="1699" spans="1:18">
      <c r="A1699" s="28"/>
      <c r="B1699" s="29"/>
      <c r="C1699" s="29"/>
      <c r="D1699" s="29"/>
      <c r="E1699" s="29"/>
      <c r="H1699" s="27"/>
      <c r="K1699"/>
      <c r="P1699" s="27"/>
      <c r="Q1699" s="27"/>
      <c r="R1699" s="27"/>
    </row>
    <row r="1700" spans="1:18">
      <c r="A1700" s="28"/>
      <c r="B1700" s="29"/>
      <c r="C1700" s="29"/>
      <c r="D1700" s="29"/>
      <c r="E1700" s="29"/>
      <c r="H1700" s="27"/>
      <c r="K1700"/>
      <c r="P1700" s="27"/>
      <c r="Q1700" s="27"/>
      <c r="R1700" s="27"/>
    </row>
    <row r="1701" spans="1:18">
      <c r="A1701" s="28"/>
      <c r="B1701" s="29"/>
      <c r="C1701" s="29"/>
      <c r="D1701" s="29"/>
      <c r="E1701" s="29"/>
      <c r="H1701" s="27"/>
      <c r="K1701"/>
      <c r="P1701" s="27"/>
      <c r="Q1701" s="27"/>
      <c r="R1701" s="27"/>
    </row>
    <row r="1702" spans="1:18">
      <c r="A1702" s="28"/>
      <c r="B1702" s="29"/>
      <c r="C1702" s="29"/>
      <c r="D1702" s="29"/>
      <c r="E1702" s="29"/>
      <c r="H1702" s="27"/>
      <c r="K1702"/>
      <c r="P1702" s="27"/>
      <c r="Q1702" s="27"/>
      <c r="R1702" s="27"/>
    </row>
    <row r="1703" spans="1:18">
      <c r="A1703" s="28"/>
      <c r="B1703" s="29"/>
      <c r="C1703" s="29"/>
      <c r="D1703" s="29"/>
      <c r="E1703" s="29"/>
      <c r="H1703" s="27"/>
      <c r="K1703"/>
      <c r="P1703" s="27"/>
      <c r="Q1703" s="27"/>
      <c r="R1703" s="27"/>
    </row>
    <row r="1704" spans="1:18">
      <c r="A1704" s="28"/>
      <c r="B1704" s="29"/>
      <c r="C1704" s="29"/>
      <c r="D1704" s="29"/>
      <c r="E1704" s="29"/>
      <c r="H1704" s="27"/>
      <c r="K1704"/>
      <c r="P1704" s="27"/>
      <c r="Q1704" s="27"/>
      <c r="R1704" s="27"/>
    </row>
    <row r="1705" spans="1:18">
      <c r="A1705" s="28"/>
      <c r="B1705" s="29"/>
      <c r="C1705" s="29"/>
      <c r="D1705" s="29"/>
      <c r="E1705" s="29"/>
      <c r="H1705" s="27"/>
      <c r="K1705"/>
      <c r="P1705" s="27"/>
      <c r="Q1705" s="27"/>
      <c r="R1705" s="27"/>
    </row>
    <row r="1706" spans="1:18">
      <c r="A1706" s="28"/>
      <c r="B1706" s="29"/>
      <c r="C1706" s="29"/>
      <c r="D1706" s="29"/>
      <c r="E1706" s="29"/>
      <c r="H1706" s="27"/>
      <c r="K1706"/>
      <c r="P1706" s="27"/>
      <c r="Q1706" s="27"/>
      <c r="R1706" s="27"/>
    </row>
    <row r="1707" spans="1:18">
      <c r="A1707" s="28"/>
      <c r="B1707" s="29"/>
      <c r="C1707" s="29"/>
      <c r="D1707" s="29"/>
      <c r="E1707" s="29"/>
      <c r="H1707" s="27"/>
      <c r="K1707"/>
      <c r="P1707" s="27"/>
      <c r="Q1707" s="27"/>
      <c r="R1707" s="27"/>
    </row>
    <row r="1708" spans="1:18">
      <c r="A1708" s="28"/>
      <c r="B1708" s="29"/>
      <c r="C1708" s="29"/>
      <c r="D1708" s="29"/>
      <c r="E1708" s="29"/>
      <c r="H1708" s="27"/>
      <c r="K1708"/>
      <c r="P1708" s="27"/>
      <c r="Q1708" s="27"/>
      <c r="R1708" s="27"/>
    </row>
    <row r="1709" spans="1:18">
      <c r="A1709" s="28"/>
      <c r="B1709" s="29"/>
      <c r="C1709" s="29"/>
      <c r="D1709" s="29"/>
      <c r="E1709" s="29"/>
      <c r="H1709" s="27"/>
      <c r="K1709"/>
      <c r="P1709" s="27"/>
      <c r="Q1709" s="27"/>
      <c r="R1709" s="27"/>
    </row>
    <row r="1710" spans="1:18">
      <c r="A1710" s="28"/>
      <c r="B1710" s="29"/>
      <c r="C1710" s="29"/>
      <c r="D1710" s="29"/>
      <c r="E1710" s="29"/>
      <c r="H1710" s="27"/>
      <c r="K1710"/>
      <c r="P1710" s="27"/>
      <c r="Q1710" s="27"/>
      <c r="R1710" s="27"/>
    </row>
    <row r="1711" spans="1:18">
      <c r="A1711" s="28"/>
      <c r="B1711" s="29"/>
      <c r="C1711" s="29"/>
      <c r="D1711" s="29"/>
      <c r="E1711" s="29"/>
      <c r="H1711" s="27"/>
      <c r="K1711"/>
      <c r="P1711" s="27"/>
      <c r="Q1711" s="27"/>
      <c r="R1711" s="27"/>
    </row>
    <row r="1712" spans="1:18">
      <c r="A1712" s="28"/>
      <c r="B1712" s="29"/>
      <c r="C1712" s="29"/>
      <c r="D1712" s="29"/>
      <c r="E1712" s="29"/>
      <c r="H1712" s="27"/>
      <c r="K1712"/>
      <c r="P1712" s="27"/>
      <c r="Q1712" s="27"/>
      <c r="R1712" s="27"/>
    </row>
    <row r="1713" spans="1:18">
      <c r="A1713" s="28"/>
      <c r="B1713" s="29"/>
      <c r="C1713" s="29"/>
      <c r="D1713" s="29"/>
      <c r="E1713" s="29"/>
      <c r="H1713" s="27"/>
      <c r="K1713"/>
      <c r="P1713" s="27"/>
      <c r="Q1713" s="27"/>
      <c r="R1713" s="27"/>
    </row>
    <row r="1714" spans="1:18">
      <c r="A1714" s="28"/>
      <c r="B1714" s="29"/>
      <c r="C1714" s="29"/>
      <c r="D1714" s="29"/>
      <c r="E1714" s="29"/>
      <c r="H1714" s="27"/>
      <c r="K1714"/>
      <c r="P1714" s="27"/>
      <c r="Q1714" s="27"/>
      <c r="R1714" s="27"/>
    </row>
    <row r="1715" spans="1:18">
      <c r="A1715" s="28"/>
      <c r="B1715" s="29"/>
      <c r="C1715" s="29"/>
      <c r="D1715" s="29"/>
      <c r="E1715" s="29"/>
      <c r="H1715" s="27"/>
      <c r="K1715"/>
      <c r="P1715" s="27"/>
      <c r="Q1715" s="27"/>
      <c r="R1715" s="27"/>
    </row>
    <row r="1716" spans="1:18">
      <c r="A1716" s="28"/>
      <c r="B1716" s="29"/>
      <c r="C1716" s="29"/>
      <c r="D1716" s="29"/>
      <c r="E1716" s="29"/>
      <c r="H1716" s="27"/>
      <c r="K1716"/>
      <c r="P1716" s="27"/>
      <c r="Q1716" s="27"/>
      <c r="R1716" s="27"/>
    </row>
    <row r="1717" spans="1:18">
      <c r="A1717" s="28"/>
      <c r="B1717" s="29"/>
      <c r="C1717" s="29"/>
      <c r="D1717" s="29"/>
      <c r="E1717" s="29"/>
      <c r="H1717" s="27"/>
      <c r="K1717"/>
      <c r="P1717" s="27"/>
      <c r="Q1717" s="27"/>
      <c r="R1717" s="27"/>
    </row>
    <row r="1718" spans="1:18">
      <c r="A1718" s="28"/>
      <c r="B1718" s="29"/>
      <c r="C1718" s="29"/>
      <c r="D1718" s="29"/>
      <c r="E1718" s="29"/>
      <c r="H1718" s="27"/>
      <c r="K1718"/>
      <c r="P1718" s="27"/>
      <c r="Q1718" s="27"/>
      <c r="R1718" s="27"/>
    </row>
    <row r="1719" spans="1:18">
      <c r="A1719" s="28"/>
      <c r="B1719" s="29"/>
      <c r="C1719" s="29"/>
      <c r="D1719" s="29"/>
      <c r="E1719" s="29"/>
      <c r="H1719" s="27"/>
      <c r="K1719"/>
      <c r="P1719" s="27"/>
      <c r="Q1719" s="27"/>
      <c r="R1719" s="27"/>
    </row>
    <row r="1720" spans="1:18">
      <c r="A1720" s="28"/>
      <c r="B1720" s="29"/>
      <c r="C1720" s="29"/>
      <c r="D1720" s="29"/>
      <c r="E1720" s="29"/>
      <c r="H1720" s="27"/>
      <c r="K1720"/>
      <c r="P1720" s="27"/>
      <c r="Q1720" s="27"/>
      <c r="R1720" s="27"/>
    </row>
    <row r="1721" spans="1:18">
      <c r="A1721" s="28"/>
      <c r="B1721" s="29"/>
      <c r="C1721" s="29"/>
      <c r="D1721" s="29"/>
      <c r="E1721" s="29"/>
      <c r="H1721" s="27"/>
      <c r="K1721"/>
      <c r="P1721" s="27"/>
      <c r="Q1721" s="27"/>
      <c r="R1721" s="27"/>
    </row>
    <row r="1722" spans="1:18">
      <c r="A1722" s="28"/>
      <c r="B1722" s="29"/>
      <c r="C1722" s="29"/>
      <c r="D1722" s="29"/>
      <c r="E1722" s="29"/>
      <c r="H1722" s="27"/>
      <c r="K1722"/>
      <c r="P1722" s="27"/>
      <c r="Q1722" s="27"/>
      <c r="R1722" s="27"/>
    </row>
    <row r="1723" spans="1:18">
      <c r="A1723" s="28"/>
      <c r="B1723" s="29"/>
      <c r="C1723" s="29"/>
      <c r="D1723" s="29"/>
      <c r="E1723" s="29"/>
      <c r="H1723" s="27"/>
      <c r="K1723"/>
      <c r="P1723" s="27"/>
      <c r="Q1723" s="27"/>
      <c r="R1723" s="27"/>
    </row>
    <row r="1724" spans="1:18">
      <c r="A1724" s="28"/>
      <c r="B1724" s="29"/>
      <c r="C1724" s="29"/>
      <c r="D1724" s="29"/>
      <c r="E1724" s="29"/>
      <c r="H1724" s="27"/>
      <c r="K1724"/>
      <c r="P1724" s="27"/>
      <c r="Q1724" s="27"/>
      <c r="R1724" s="27"/>
    </row>
    <row r="1725" spans="1:18">
      <c r="A1725" s="28"/>
      <c r="B1725" s="29"/>
      <c r="C1725" s="29"/>
      <c r="D1725" s="29"/>
      <c r="E1725" s="29"/>
      <c r="H1725" s="27"/>
      <c r="K1725"/>
      <c r="P1725" s="27"/>
      <c r="Q1725" s="27"/>
      <c r="R1725" s="27"/>
    </row>
    <row r="1726" spans="1:18">
      <c r="A1726" s="28"/>
      <c r="B1726" s="29"/>
      <c r="C1726" s="29"/>
      <c r="D1726" s="29"/>
      <c r="E1726" s="29"/>
      <c r="H1726" s="27"/>
      <c r="K1726"/>
      <c r="P1726" s="27"/>
      <c r="Q1726" s="27"/>
      <c r="R1726" s="27"/>
    </row>
    <row r="1727" spans="1:18">
      <c r="A1727" s="28"/>
      <c r="B1727" s="29"/>
      <c r="C1727" s="29"/>
      <c r="D1727" s="29"/>
      <c r="E1727" s="29"/>
      <c r="H1727" s="27"/>
      <c r="K1727"/>
      <c r="P1727" s="27"/>
      <c r="Q1727" s="27"/>
      <c r="R1727" s="27"/>
    </row>
    <row r="1728" spans="1:18">
      <c r="A1728" s="28"/>
      <c r="B1728" s="29"/>
      <c r="C1728" s="29"/>
      <c r="D1728" s="29"/>
      <c r="E1728" s="29"/>
      <c r="H1728" s="27"/>
      <c r="K1728"/>
      <c r="P1728" s="27"/>
      <c r="Q1728" s="27"/>
      <c r="R1728" s="27"/>
    </row>
    <row r="1729" spans="1:18">
      <c r="A1729" s="28"/>
      <c r="B1729" s="29"/>
      <c r="C1729" s="29"/>
      <c r="D1729" s="29"/>
      <c r="E1729" s="29"/>
      <c r="H1729" s="27"/>
      <c r="K1729"/>
      <c r="P1729" s="27"/>
      <c r="Q1729" s="27"/>
      <c r="R1729" s="27"/>
    </row>
    <row r="1730" spans="1:18">
      <c r="A1730" s="28"/>
      <c r="B1730" s="29"/>
      <c r="C1730" s="29"/>
      <c r="D1730" s="29"/>
      <c r="E1730" s="29"/>
      <c r="H1730" s="27"/>
      <c r="K1730"/>
      <c r="P1730" s="27"/>
      <c r="Q1730" s="27"/>
      <c r="R1730" s="27"/>
    </row>
    <row r="1731" spans="1:18">
      <c r="A1731" s="28"/>
      <c r="B1731" s="29"/>
      <c r="C1731" s="29"/>
      <c r="D1731" s="29"/>
      <c r="E1731" s="29"/>
      <c r="H1731" s="27"/>
      <c r="K1731"/>
      <c r="P1731" s="27"/>
      <c r="Q1731" s="27"/>
      <c r="R1731" s="27"/>
    </row>
    <row r="1732" spans="1:18">
      <c r="A1732" s="28"/>
      <c r="B1732" s="29"/>
      <c r="C1732" s="29"/>
      <c r="D1732" s="29"/>
      <c r="E1732" s="29"/>
      <c r="H1732" s="27"/>
      <c r="K1732"/>
      <c r="P1732" s="27"/>
      <c r="Q1732" s="27"/>
      <c r="R1732" s="27"/>
    </row>
    <row r="1733" spans="1:18">
      <c r="A1733" s="28"/>
      <c r="B1733" s="29"/>
      <c r="C1733" s="29"/>
      <c r="D1733" s="29"/>
      <c r="E1733" s="29"/>
      <c r="H1733" s="27"/>
      <c r="K1733"/>
      <c r="P1733" s="27"/>
      <c r="Q1733" s="27"/>
      <c r="R1733" s="27"/>
    </row>
    <row r="1734" spans="1:18">
      <c r="A1734" s="28"/>
      <c r="B1734" s="29"/>
      <c r="C1734" s="29"/>
      <c r="D1734" s="29"/>
      <c r="E1734" s="29"/>
      <c r="H1734" s="27"/>
      <c r="K1734"/>
      <c r="P1734" s="27"/>
      <c r="Q1734" s="27"/>
      <c r="R1734" s="27"/>
    </row>
    <row r="1735" spans="1:18">
      <c r="A1735" s="28"/>
      <c r="B1735" s="29"/>
      <c r="C1735" s="29"/>
      <c r="D1735" s="29"/>
      <c r="E1735" s="29"/>
      <c r="H1735" s="27"/>
      <c r="K1735"/>
      <c r="P1735" s="27"/>
      <c r="Q1735" s="27"/>
      <c r="R1735" s="27"/>
    </row>
    <row r="1736" spans="1:18">
      <c r="A1736" s="28"/>
      <c r="B1736" s="29"/>
      <c r="C1736" s="29"/>
      <c r="D1736" s="29"/>
      <c r="E1736" s="29"/>
      <c r="H1736" s="27"/>
      <c r="K1736"/>
      <c r="P1736" s="27"/>
      <c r="Q1736" s="27"/>
      <c r="R1736" s="27"/>
    </row>
    <row r="1737" spans="1:18">
      <c r="A1737" s="28"/>
      <c r="B1737" s="29"/>
      <c r="C1737" s="29"/>
      <c r="D1737" s="29"/>
      <c r="E1737" s="29"/>
      <c r="H1737" s="27"/>
      <c r="K1737"/>
      <c r="P1737" s="27"/>
      <c r="Q1737" s="27"/>
      <c r="R1737" s="27"/>
    </row>
    <row r="1738" spans="1:18">
      <c r="A1738" s="28"/>
      <c r="B1738" s="29"/>
      <c r="C1738" s="29"/>
      <c r="D1738" s="29"/>
      <c r="E1738" s="29"/>
      <c r="H1738" s="27"/>
      <c r="K1738"/>
      <c r="P1738" s="27"/>
      <c r="Q1738" s="27"/>
      <c r="R1738" s="27"/>
    </row>
    <row r="1739" spans="1:18">
      <c r="A1739" s="28"/>
      <c r="B1739" s="29"/>
      <c r="C1739" s="29"/>
      <c r="D1739" s="29"/>
      <c r="E1739" s="29"/>
      <c r="H1739" s="27"/>
      <c r="K1739"/>
      <c r="P1739" s="27"/>
      <c r="Q1739" s="27"/>
      <c r="R1739" s="27"/>
    </row>
    <row r="1740" spans="1:18">
      <c r="A1740" s="28"/>
      <c r="B1740" s="29"/>
      <c r="C1740" s="29"/>
      <c r="D1740" s="29"/>
      <c r="E1740" s="29"/>
      <c r="H1740" s="27"/>
      <c r="K1740"/>
      <c r="P1740" s="27"/>
      <c r="Q1740" s="27"/>
      <c r="R1740" s="27"/>
    </row>
    <row r="1741" spans="1:18">
      <c r="A1741" s="28"/>
      <c r="B1741" s="29"/>
      <c r="C1741" s="29"/>
      <c r="D1741" s="29"/>
      <c r="E1741" s="29"/>
      <c r="H1741" s="27"/>
      <c r="K1741"/>
      <c r="P1741" s="27"/>
      <c r="Q1741" s="27"/>
      <c r="R1741" s="27"/>
    </row>
    <row r="1742" spans="1:18">
      <c r="A1742" s="28"/>
      <c r="B1742" s="29"/>
      <c r="C1742" s="29"/>
      <c r="D1742" s="29"/>
      <c r="E1742" s="29"/>
      <c r="H1742" s="27"/>
      <c r="K1742"/>
      <c r="P1742" s="27"/>
      <c r="Q1742" s="27"/>
      <c r="R1742" s="27"/>
    </row>
    <row r="1743" spans="1:18">
      <c r="A1743" s="28"/>
      <c r="B1743" s="29"/>
      <c r="C1743" s="29"/>
      <c r="D1743" s="29"/>
      <c r="E1743" s="29"/>
      <c r="H1743" s="27"/>
      <c r="K1743"/>
      <c r="P1743" s="27"/>
      <c r="Q1743" s="27"/>
      <c r="R1743" s="27"/>
    </row>
    <row r="1744" spans="1:18">
      <c r="A1744" s="28"/>
      <c r="B1744" s="29"/>
      <c r="C1744" s="29"/>
      <c r="D1744" s="29"/>
      <c r="E1744" s="29"/>
      <c r="H1744" s="27"/>
      <c r="K1744"/>
      <c r="P1744" s="27"/>
      <c r="Q1744" s="27"/>
      <c r="R1744" s="27"/>
    </row>
    <row r="1745" spans="1:18">
      <c r="A1745" s="28"/>
      <c r="B1745" s="29"/>
      <c r="C1745" s="29"/>
      <c r="D1745" s="29"/>
      <c r="E1745" s="29"/>
      <c r="H1745" s="27"/>
      <c r="K1745"/>
      <c r="P1745" s="27"/>
      <c r="Q1745" s="27"/>
      <c r="R1745" s="27"/>
    </row>
    <row r="1746" spans="1:18">
      <c r="A1746" s="28"/>
      <c r="B1746" s="29"/>
      <c r="C1746" s="29"/>
      <c r="D1746" s="29"/>
      <c r="E1746" s="29"/>
      <c r="H1746" s="27"/>
      <c r="K1746"/>
      <c r="P1746" s="27"/>
      <c r="Q1746" s="27"/>
      <c r="R1746" s="27"/>
    </row>
    <row r="1747" spans="1:18">
      <c r="A1747" s="28"/>
      <c r="B1747" s="29"/>
      <c r="C1747" s="29"/>
      <c r="D1747" s="29"/>
      <c r="E1747" s="29"/>
      <c r="H1747" s="27"/>
      <c r="K1747"/>
      <c r="P1747" s="27"/>
      <c r="Q1747" s="27"/>
      <c r="R1747" s="27"/>
    </row>
    <row r="1748" spans="1:18">
      <c r="A1748" s="28"/>
      <c r="B1748" s="29"/>
      <c r="C1748" s="29"/>
      <c r="D1748" s="29"/>
      <c r="E1748" s="29"/>
      <c r="H1748" s="27"/>
      <c r="K1748"/>
      <c r="P1748" s="27"/>
      <c r="Q1748" s="27"/>
      <c r="R1748" s="27"/>
    </row>
    <row r="1749" spans="1:18">
      <c r="A1749" s="28"/>
      <c r="B1749" s="29"/>
      <c r="C1749" s="29"/>
      <c r="D1749" s="29"/>
      <c r="E1749" s="29"/>
      <c r="H1749" s="27"/>
      <c r="K1749"/>
      <c r="P1749" s="27"/>
      <c r="Q1749" s="27"/>
      <c r="R1749" s="27"/>
    </row>
    <row r="1750" spans="1:18">
      <c r="A1750" s="28"/>
      <c r="B1750" s="29"/>
      <c r="C1750" s="29"/>
      <c r="D1750" s="29"/>
      <c r="E1750" s="29"/>
      <c r="H1750" s="27"/>
      <c r="K1750"/>
      <c r="P1750" s="27"/>
      <c r="Q1750" s="27"/>
      <c r="R1750" s="27"/>
    </row>
    <row r="1751" spans="1:18">
      <c r="A1751" s="28"/>
      <c r="B1751" s="29"/>
      <c r="C1751" s="29"/>
      <c r="D1751" s="29"/>
      <c r="E1751" s="29"/>
      <c r="H1751" s="27"/>
      <c r="K1751"/>
      <c r="P1751" s="27"/>
      <c r="Q1751" s="27"/>
      <c r="R1751" s="27"/>
    </row>
    <row r="1752" spans="1:18">
      <c r="A1752" s="28"/>
      <c r="B1752" s="29"/>
      <c r="C1752" s="29"/>
      <c r="D1752" s="29"/>
      <c r="E1752" s="29"/>
      <c r="H1752" s="27"/>
      <c r="K1752"/>
      <c r="P1752" s="27"/>
      <c r="Q1752" s="27"/>
      <c r="R1752" s="27"/>
    </row>
    <row r="1753" spans="1:18">
      <c r="A1753" s="28"/>
      <c r="B1753" s="29"/>
      <c r="C1753" s="29"/>
      <c r="D1753" s="29"/>
      <c r="E1753" s="29"/>
      <c r="H1753" s="27"/>
      <c r="K1753"/>
      <c r="P1753" s="27"/>
      <c r="Q1753" s="27"/>
      <c r="R1753" s="27"/>
    </row>
    <row r="1754" spans="1:18">
      <c r="A1754" s="28"/>
      <c r="B1754" s="29"/>
      <c r="C1754" s="29"/>
      <c r="D1754" s="29"/>
      <c r="E1754" s="29"/>
      <c r="H1754" s="27"/>
      <c r="K1754"/>
      <c r="P1754" s="27"/>
      <c r="Q1754" s="27"/>
      <c r="R1754" s="27"/>
    </row>
    <row r="1755" spans="1:18">
      <c r="A1755" s="28"/>
      <c r="B1755" s="29"/>
      <c r="C1755" s="29"/>
      <c r="D1755" s="29"/>
      <c r="E1755" s="29"/>
      <c r="H1755" s="27"/>
      <c r="K1755"/>
      <c r="P1755" s="27"/>
      <c r="Q1755" s="27"/>
      <c r="R1755" s="27"/>
    </row>
    <row r="1756" spans="1:18">
      <c r="A1756" s="28"/>
      <c r="B1756" s="29"/>
      <c r="C1756" s="29"/>
      <c r="D1756" s="29"/>
      <c r="E1756" s="29"/>
      <c r="H1756" s="27"/>
      <c r="K1756"/>
      <c r="P1756" s="27"/>
      <c r="Q1756" s="27"/>
      <c r="R1756" s="27"/>
    </row>
    <row r="1757" spans="1:18">
      <c r="A1757" s="28"/>
      <c r="B1757" s="29"/>
      <c r="C1757" s="29"/>
      <c r="D1757" s="29"/>
      <c r="E1757" s="29"/>
      <c r="H1757" s="27"/>
      <c r="K1757"/>
      <c r="P1757" s="27"/>
      <c r="Q1757" s="27"/>
      <c r="R1757" s="27"/>
    </row>
    <row r="1758" spans="1:18">
      <c r="A1758" s="28"/>
      <c r="B1758" s="29"/>
      <c r="C1758" s="29"/>
      <c r="D1758" s="29"/>
      <c r="E1758" s="29"/>
      <c r="H1758" s="27"/>
      <c r="K1758"/>
      <c r="P1758" s="27"/>
      <c r="Q1758" s="27"/>
      <c r="R1758" s="27"/>
    </row>
    <row r="1759" spans="1:18">
      <c r="A1759" s="28"/>
      <c r="B1759" s="29"/>
      <c r="C1759" s="29"/>
      <c r="D1759" s="29"/>
      <c r="E1759" s="29"/>
      <c r="H1759" s="27"/>
      <c r="K1759"/>
      <c r="P1759" s="27"/>
      <c r="Q1759" s="27"/>
      <c r="R1759" s="27"/>
    </row>
    <row r="1760" spans="1:18">
      <c r="A1760" s="28"/>
      <c r="B1760" s="29"/>
      <c r="C1760" s="29"/>
      <c r="D1760" s="29"/>
      <c r="E1760" s="29"/>
      <c r="H1760" s="27"/>
      <c r="K1760"/>
      <c r="P1760" s="27"/>
      <c r="Q1760" s="27"/>
      <c r="R1760" s="27"/>
    </row>
    <row r="1761" spans="1:18">
      <c r="A1761" s="28"/>
      <c r="B1761" s="29"/>
      <c r="C1761" s="29"/>
      <c r="D1761" s="29"/>
      <c r="E1761" s="29"/>
      <c r="H1761" s="27"/>
      <c r="K1761"/>
      <c r="P1761" s="27"/>
      <c r="Q1761" s="27"/>
      <c r="R1761" s="27"/>
    </row>
    <row r="1762" spans="1:18">
      <c r="A1762" s="28"/>
      <c r="B1762" s="29"/>
      <c r="C1762" s="29"/>
      <c r="D1762" s="29"/>
      <c r="E1762" s="29"/>
      <c r="H1762" s="27"/>
      <c r="K1762"/>
      <c r="P1762" s="27"/>
      <c r="Q1762" s="27"/>
      <c r="R1762" s="27"/>
    </row>
    <row r="1763" spans="1:18">
      <c r="A1763" s="28"/>
      <c r="B1763" s="29"/>
      <c r="C1763" s="29"/>
      <c r="D1763" s="29"/>
      <c r="E1763" s="29"/>
      <c r="H1763" s="27"/>
      <c r="K1763"/>
      <c r="P1763" s="27"/>
      <c r="Q1763" s="27"/>
      <c r="R1763" s="27"/>
    </row>
    <row r="1764" spans="1:18">
      <c r="A1764" s="28"/>
      <c r="B1764" s="29"/>
      <c r="C1764" s="29"/>
      <c r="D1764" s="29"/>
      <c r="E1764" s="29"/>
      <c r="H1764" s="27"/>
      <c r="K1764"/>
      <c r="P1764" s="27"/>
      <c r="Q1764" s="27"/>
      <c r="R1764" s="27"/>
    </row>
    <row r="1765" spans="1:18">
      <c r="A1765" s="28"/>
      <c r="B1765" s="29"/>
      <c r="C1765" s="29"/>
      <c r="D1765" s="29"/>
      <c r="E1765" s="29"/>
      <c r="H1765" s="27"/>
      <c r="K1765"/>
      <c r="P1765" s="27"/>
      <c r="Q1765" s="27"/>
      <c r="R1765" s="27"/>
    </row>
    <row r="1766" spans="1:18">
      <c r="A1766" s="28"/>
      <c r="B1766" s="29"/>
      <c r="C1766" s="29"/>
      <c r="D1766" s="29"/>
      <c r="E1766" s="29"/>
      <c r="H1766" s="27"/>
      <c r="K1766"/>
      <c r="P1766" s="27"/>
      <c r="Q1766" s="27"/>
      <c r="R1766" s="27"/>
    </row>
    <row r="1767" spans="1:18">
      <c r="A1767" s="28"/>
      <c r="B1767" s="29"/>
      <c r="C1767" s="29"/>
      <c r="D1767" s="29"/>
      <c r="E1767" s="29"/>
      <c r="H1767" s="27"/>
      <c r="K1767"/>
      <c r="P1767" s="27"/>
      <c r="Q1767" s="27"/>
      <c r="R1767" s="27"/>
    </row>
    <row r="1768" spans="1:18">
      <c r="A1768" s="28"/>
      <c r="B1768" s="29"/>
      <c r="C1768" s="29"/>
      <c r="D1768" s="29"/>
      <c r="E1768" s="29"/>
      <c r="H1768" s="27"/>
      <c r="K1768"/>
      <c r="P1768" s="27"/>
      <c r="Q1768" s="27"/>
      <c r="R1768" s="27"/>
    </row>
    <row r="1769" spans="1:18">
      <c r="A1769" s="28"/>
      <c r="B1769" s="29"/>
      <c r="C1769" s="29"/>
      <c r="D1769" s="29"/>
      <c r="E1769" s="29"/>
      <c r="H1769" s="27"/>
      <c r="K1769"/>
      <c r="P1769" s="27"/>
      <c r="Q1769" s="27"/>
      <c r="R1769" s="27"/>
    </row>
    <row r="1770" spans="1:18">
      <c r="A1770" s="28"/>
      <c r="B1770" s="29"/>
      <c r="C1770" s="29"/>
      <c r="D1770" s="29"/>
      <c r="E1770" s="29"/>
      <c r="H1770" s="27"/>
      <c r="K1770"/>
      <c r="P1770" s="27"/>
      <c r="Q1770" s="27"/>
      <c r="R1770" s="27"/>
    </row>
    <row r="1771" spans="1:18">
      <c r="A1771" s="28"/>
      <c r="B1771" s="29"/>
      <c r="C1771" s="29"/>
      <c r="D1771" s="29"/>
      <c r="E1771" s="29"/>
      <c r="H1771" s="27"/>
      <c r="K1771"/>
      <c r="P1771" s="27"/>
      <c r="Q1771" s="27"/>
      <c r="R1771" s="27"/>
    </row>
    <row r="1772" spans="1:18">
      <c r="A1772" s="28"/>
      <c r="B1772" s="29"/>
      <c r="C1772" s="29"/>
      <c r="D1772" s="29"/>
      <c r="E1772" s="29"/>
      <c r="H1772" s="27"/>
      <c r="K1772"/>
      <c r="P1772" s="27"/>
      <c r="Q1772" s="27"/>
      <c r="R1772" s="27"/>
    </row>
    <row r="1773" spans="1:18">
      <c r="A1773" s="28"/>
      <c r="B1773" s="29"/>
      <c r="C1773" s="29"/>
      <c r="D1773" s="29"/>
      <c r="E1773" s="29"/>
      <c r="H1773" s="27"/>
      <c r="K1773"/>
      <c r="P1773" s="27"/>
      <c r="Q1773" s="27"/>
      <c r="R1773" s="27"/>
    </row>
    <row r="1774" spans="1:18">
      <c r="A1774" s="28"/>
      <c r="B1774" s="29"/>
      <c r="C1774" s="29"/>
      <c r="D1774" s="29"/>
      <c r="E1774" s="29"/>
      <c r="H1774" s="27"/>
      <c r="K1774"/>
      <c r="P1774" s="27"/>
      <c r="Q1774" s="27"/>
      <c r="R1774" s="27"/>
    </row>
    <row r="1775" spans="1:18">
      <c r="A1775" s="28"/>
      <c r="B1775" s="29"/>
      <c r="C1775" s="29"/>
      <c r="D1775" s="29"/>
      <c r="E1775" s="29"/>
      <c r="H1775" s="27"/>
      <c r="K1775"/>
      <c r="P1775" s="27"/>
      <c r="Q1775" s="27"/>
      <c r="R1775" s="27"/>
    </row>
    <row r="1776" spans="1:18">
      <c r="A1776" s="28"/>
      <c r="B1776" s="29"/>
      <c r="C1776" s="29"/>
      <c r="D1776" s="29"/>
      <c r="E1776" s="29"/>
      <c r="H1776" s="27"/>
      <c r="K1776"/>
      <c r="P1776" s="27"/>
      <c r="Q1776" s="27"/>
      <c r="R1776" s="27"/>
    </row>
    <row r="1777" spans="1:18">
      <c r="A1777" s="28"/>
      <c r="B1777" s="29"/>
      <c r="C1777" s="29"/>
      <c r="D1777" s="29"/>
      <c r="E1777" s="29"/>
      <c r="H1777" s="27"/>
      <c r="K1777"/>
      <c r="P1777" s="27"/>
      <c r="Q1777" s="27"/>
      <c r="R1777" s="27"/>
    </row>
    <row r="1778" spans="1:18">
      <c r="A1778" s="28"/>
      <c r="B1778" s="29"/>
      <c r="C1778" s="29"/>
      <c r="D1778" s="29"/>
      <c r="E1778" s="29"/>
      <c r="H1778" s="27"/>
      <c r="K1778"/>
      <c r="P1778" s="27"/>
      <c r="Q1778" s="27"/>
      <c r="R1778" s="27"/>
    </row>
    <row r="1779" spans="1:18">
      <c r="A1779" s="28"/>
      <c r="B1779" s="29"/>
      <c r="C1779" s="29"/>
      <c r="D1779" s="29"/>
      <c r="E1779" s="29"/>
      <c r="H1779" s="27"/>
      <c r="K1779"/>
      <c r="P1779" s="27"/>
      <c r="Q1779" s="27"/>
      <c r="R1779" s="27"/>
    </row>
    <row r="1780" spans="1:18">
      <c r="A1780" s="28"/>
      <c r="B1780" s="29"/>
      <c r="C1780" s="29"/>
      <c r="D1780" s="29"/>
      <c r="E1780" s="29"/>
      <c r="H1780" s="27"/>
      <c r="K1780"/>
      <c r="P1780" s="27"/>
      <c r="Q1780" s="27"/>
      <c r="R1780" s="27"/>
    </row>
    <row r="1781" spans="1:18">
      <c r="A1781" s="28"/>
      <c r="B1781" s="29"/>
      <c r="C1781" s="29"/>
      <c r="D1781" s="29"/>
      <c r="E1781" s="29"/>
      <c r="H1781" s="27"/>
      <c r="K1781"/>
      <c r="P1781" s="27"/>
      <c r="Q1781" s="27"/>
      <c r="R1781" s="27"/>
    </row>
    <row r="1782" spans="1:18">
      <c r="A1782" s="28"/>
      <c r="B1782" s="29"/>
      <c r="C1782" s="29"/>
      <c r="D1782" s="29"/>
      <c r="E1782" s="29"/>
      <c r="H1782" s="27"/>
      <c r="K1782"/>
      <c r="P1782" s="27"/>
      <c r="Q1782" s="27"/>
      <c r="R1782" s="27"/>
    </row>
    <row r="1783" spans="1:18">
      <c r="A1783" s="28"/>
      <c r="B1783" s="29"/>
      <c r="C1783" s="29"/>
      <c r="D1783" s="29"/>
      <c r="E1783" s="29"/>
      <c r="H1783" s="27"/>
      <c r="K1783"/>
      <c r="P1783" s="27"/>
      <c r="Q1783" s="27"/>
      <c r="R1783" s="27"/>
    </row>
    <row r="1784" spans="1:18">
      <c r="A1784" s="28"/>
      <c r="B1784" s="29"/>
      <c r="C1784" s="29"/>
      <c r="D1784" s="29"/>
      <c r="E1784" s="29"/>
      <c r="H1784" s="27"/>
      <c r="K1784"/>
      <c r="P1784" s="27"/>
      <c r="Q1784" s="27"/>
      <c r="R1784" s="27"/>
    </row>
    <row r="1785" spans="1:18">
      <c r="A1785" s="28"/>
      <c r="B1785" s="29"/>
      <c r="C1785" s="29"/>
      <c r="D1785" s="29"/>
      <c r="E1785" s="29"/>
      <c r="H1785" s="27"/>
      <c r="K1785"/>
      <c r="P1785" s="27"/>
      <c r="Q1785" s="27"/>
      <c r="R1785" s="27"/>
    </row>
    <row r="1786" spans="1:18">
      <c r="A1786" s="28"/>
      <c r="B1786" s="29"/>
      <c r="C1786" s="29"/>
      <c r="D1786" s="29"/>
      <c r="E1786" s="29"/>
      <c r="H1786" s="27"/>
      <c r="K1786"/>
      <c r="P1786" s="27"/>
      <c r="Q1786" s="27"/>
      <c r="R1786" s="27"/>
    </row>
    <row r="1787" spans="1:18">
      <c r="A1787" s="28"/>
      <c r="B1787" s="29"/>
      <c r="C1787" s="29"/>
      <c r="D1787" s="29"/>
      <c r="E1787" s="29"/>
      <c r="H1787" s="27"/>
      <c r="K1787"/>
      <c r="P1787" s="27"/>
      <c r="Q1787" s="27"/>
      <c r="R1787" s="27"/>
    </row>
    <row r="1788" spans="1:18">
      <c r="A1788" s="28"/>
      <c r="B1788" s="29"/>
      <c r="C1788" s="29"/>
      <c r="D1788" s="29"/>
      <c r="E1788" s="29"/>
      <c r="H1788" s="27"/>
      <c r="K1788"/>
      <c r="P1788" s="27"/>
      <c r="Q1788" s="27"/>
      <c r="R1788" s="27"/>
    </row>
    <row r="1789" spans="1:18">
      <c r="A1789" s="28"/>
      <c r="B1789" s="29"/>
      <c r="C1789" s="29"/>
      <c r="D1789" s="29"/>
      <c r="E1789" s="29"/>
      <c r="H1789" s="27"/>
      <c r="K1789"/>
      <c r="P1789" s="27"/>
      <c r="Q1789" s="27"/>
      <c r="R1789" s="27"/>
    </row>
    <row r="1790" spans="1:18">
      <c r="A1790" s="28"/>
      <c r="B1790" s="29"/>
      <c r="C1790" s="29"/>
      <c r="D1790" s="29"/>
      <c r="E1790" s="29"/>
      <c r="H1790" s="27"/>
      <c r="K1790"/>
      <c r="P1790" s="27"/>
      <c r="Q1790" s="27"/>
      <c r="R1790" s="27"/>
    </row>
    <row r="1791" spans="1:18">
      <c r="A1791" s="28"/>
      <c r="B1791" s="29"/>
      <c r="C1791" s="29"/>
      <c r="D1791" s="29"/>
      <c r="E1791" s="29"/>
      <c r="H1791" s="27"/>
      <c r="K1791"/>
      <c r="P1791" s="27"/>
      <c r="Q1791" s="27"/>
      <c r="R1791" s="27"/>
    </row>
    <row r="1792" spans="1:18">
      <c r="A1792" s="28"/>
      <c r="B1792" s="29"/>
      <c r="C1792" s="29"/>
      <c r="D1792" s="29"/>
      <c r="E1792" s="29"/>
      <c r="H1792" s="27"/>
      <c r="K1792"/>
      <c r="P1792" s="27"/>
      <c r="Q1792" s="27"/>
      <c r="R1792" s="27"/>
    </row>
    <row r="1793" spans="1:18">
      <c r="A1793" s="28"/>
      <c r="B1793" s="29"/>
      <c r="C1793" s="29"/>
      <c r="D1793" s="29"/>
      <c r="E1793" s="29"/>
      <c r="H1793" s="27"/>
      <c r="K1793"/>
      <c r="P1793" s="27"/>
      <c r="Q1793" s="27"/>
      <c r="R1793" s="27"/>
    </row>
    <row r="1794" spans="1:18">
      <c r="A1794" s="28"/>
      <c r="B1794" s="29"/>
      <c r="C1794" s="29"/>
      <c r="D1794" s="29"/>
      <c r="E1794" s="29"/>
      <c r="H1794" s="27"/>
      <c r="K1794"/>
      <c r="P1794" s="27"/>
      <c r="Q1794" s="27"/>
      <c r="R1794" s="27"/>
    </row>
    <row r="1795" spans="1:18">
      <c r="A1795" s="28"/>
      <c r="B1795" s="29"/>
      <c r="C1795" s="29"/>
      <c r="D1795" s="29"/>
      <c r="E1795" s="29"/>
      <c r="H1795" s="27"/>
      <c r="K1795"/>
      <c r="P1795" s="27"/>
      <c r="Q1795" s="27"/>
      <c r="R1795" s="27"/>
    </row>
    <row r="1796" spans="1:18">
      <c r="A1796" s="28"/>
      <c r="B1796" s="29"/>
      <c r="C1796" s="29"/>
      <c r="D1796" s="29"/>
      <c r="E1796" s="29"/>
      <c r="H1796" s="27"/>
      <c r="K1796"/>
      <c r="P1796" s="27"/>
      <c r="Q1796" s="27"/>
      <c r="R1796" s="27"/>
    </row>
    <row r="1797" spans="1:18">
      <c r="A1797" s="28"/>
      <c r="B1797" s="29"/>
      <c r="C1797" s="29"/>
      <c r="D1797" s="29"/>
      <c r="E1797" s="29"/>
      <c r="H1797" s="27"/>
      <c r="K1797"/>
      <c r="P1797" s="27"/>
      <c r="Q1797" s="27"/>
      <c r="R1797" s="27"/>
    </row>
    <row r="1798" spans="1:18">
      <c r="A1798" s="28"/>
      <c r="B1798" s="29"/>
      <c r="C1798" s="29"/>
      <c r="D1798" s="29"/>
      <c r="E1798" s="29"/>
      <c r="H1798" s="27"/>
      <c r="K1798"/>
      <c r="P1798" s="27"/>
      <c r="Q1798" s="27"/>
      <c r="R1798" s="27"/>
    </row>
    <row r="1799" spans="1:18">
      <c r="A1799" s="28"/>
      <c r="B1799" s="29"/>
      <c r="C1799" s="29"/>
      <c r="D1799" s="29"/>
      <c r="E1799" s="29"/>
      <c r="H1799" s="27"/>
      <c r="K1799"/>
      <c r="P1799" s="27"/>
      <c r="Q1799" s="27"/>
      <c r="R1799" s="27"/>
    </row>
    <row r="1800" spans="1:18">
      <c r="A1800" s="28"/>
      <c r="B1800" s="29"/>
      <c r="C1800" s="29"/>
      <c r="D1800" s="29"/>
      <c r="E1800" s="29"/>
      <c r="H1800" s="27"/>
      <c r="K1800"/>
      <c r="P1800" s="27"/>
      <c r="Q1800" s="27"/>
      <c r="R1800" s="27"/>
    </row>
    <row r="1801" spans="1:18">
      <c r="A1801" s="28"/>
      <c r="B1801" s="29"/>
      <c r="C1801" s="29"/>
      <c r="D1801" s="29"/>
      <c r="E1801" s="29"/>
      <c r="H1801" s="27"/>
      <c r="K1801"/>
      <c r="P1801" s="27"/>
      <c r="Q1801" s="27"/>
      <c r="R1801" s="27"/>
    </row>
    <row r="1802" spans="1:18">
      <c r="A1802" s="28"/>
      <c r="B1802" s="29"/>
      <c r="C1802" s="29"/>
      <c r="D1802" s="29"/>
      <c r="E1802" s="29"/>
      <c r="H1802" s="27"/>
      <c r="K1802"/>
      <c r="P1802" s="27"/>
      <c r="Q1802" s="27"/>
      <c r="R1802" s="27"/>
    </row>
    <row r="1803" spans="1:18">
      <c r="A1803" s="28"/>
      <c r="B1803" s="29"/>
      <c r="C1803" s="29"/>
      <c r="D1803" s="29"/>
      <c r="E1803" s="29"/>
      <c r="H1803" s="27"/>
      <c r="K1803"/>
      <c r="P1803" s="27"/>
      <c r="Q1803" s="27"/>
      <c r="R1803" s="27"/>
    </row>
    <row r="1804" spans="1:18">
      <c r="A1804" s="28"/>
      <c r="B1804" s="29"/>
      <c r="C1804" s="29"/>
      <c r="D1804" s="29"/>
      <c r="E1804" s="29"/>
      <c r="H1804" s="27"/>
      <c r="K1804"/>
      <c r="P1804" s="27"/>
      <c r="Q1804" s="27"/>
      <c r="R1804" s="27"/>
    </row>
    <row r="1805" spans="1:18">
      <c r="A1805" s="28"/>
      <c r="B1805" s="29"/>
      <c r="C1805" s="29"/>
      <c r="D1805" s="29"/>
      <c r="E1805" s="29"/>
      <c r="H1805" s="27"/>
      <c r="K1805"/>
      <c r="P1805" s="27"/>
      <c r="Q1805" s="27"/>
      <c r="R1805" s="27"/>
    </row>
    <row r="1806" spans="1:18">
      <c r="A1806" s="28"/>
      <c r="B1806" s="29"/>
      <c r="C1806" s="29"/>
      <c r="D1806" s="29"/>
      <c r="E1806" s="29"/>
      <c r="H1806" s="27"/>
      <c r="K1806"/>
      <c r="P1806" s="27"/>
      <c r="Q1806" s="27"/>
      <c r="R1806" s="27"/>
    </row>
    <row r="1807" spans="1:18">
      <c r="A1807" s="28"/>
      <c r="B1807" s="29"/>
      <c r="C1807" s="29"/>
      <c r="D1807" s="29"/>
      <c r="E1807" s="29"/>
      <c r="H1807" s="27"/>
      <c r="K1807"/>
      <c r="P1807" s="27"/>
      <c r="Q1807" s="27"/>
      <c r="R1807" s="27"/>
    </row>
    <row r="1808" spans="1:18">
      <c r="A1808" s="28"/>
      <c r="B1808" s="29"/>
      <c r="C1808" s="29"/>
      <c r="D1808" s="29"/>
      <c r="E1808" s="29"/>
      <c r="H1808" s="27"/>
      <c r="K1808"/>
      <c r="P1808" s="27"/>
      <c r="Q1808" s="27"/>
      <c r="R1808" s="27"/>
    </row>
    <row r="1809" spans="1:18">
      <c r="A1809" s="28"/>
      <c r="B1809" s="29"/>
      <c r="C1809" s="29"/>
      <c r="D1809" s="29"/>
      <c r="E1809" s="29"/>
      <c r="H1809" s="27"/>
      <c r="K1809"/>
      <c r="P1809" s="27"/>
      <c r="Q1809" s="27"/>
      <c r="R1809" s="27"/>
    </row>
    <row r="1810" spans="1:18">
      <c r="A1810" s="28"/>
      <c r="B1810" s="29"/>
      <c r="C1810" s="29"/>
      <c r="D1810" s="29"/>
      <c r="E1810" s="29"/>
      <c r="H1810" s="27"/>
      <c r="K1810"/>
      <c r="P1810" s="27"/>
      <c r="Q1810" s="27"/>
      <c r="R1810" s="27"/>
    </row>
    <row r="1811" spans="1:18">
      <c r="A1811" s="28"/>
      <c r="B1811" s="29"/>
      <c r="C1811" s="29"/>
      <c r="D1811" s="29"/>
      <c r="E1811" s="29"/>
      <c r="H1811" s="27"/>
      <c r="K1811"/>
      <c r="P1811" s="27"/>
      <c r="Q1811" s="27"/>
      <c r="R1811" s="27"/>
    </row>
    <row r="1812" spans="1:18">
      <c r="A1812" s="28"/>
      <c r="B1812" s="29"/>
      <c r="C1812" s="29"/>
      <c r="D1812" s="29"/>
      <c r="E1812" s="29"/>
      <c r="H1812" s="27"/>
      <c r="K1812"/>
      <c r="P1812" s="27"/>
      <c r="Q1812" s="27"/>
      <c r="R1812" s="27"/>
    </row>
    <row r="1813" spans="1:18">
      <c r="A1813" s="28"/>
      <c r="B1813" s="29"/>
      <c r="C1813" s="29"/>
      <c r="D1813" s="29"/>
      <c r="E1813" s="29"/>
      <c r="H1813" s="27"/>
      <c r="K1813"/>
      <c r="P1813" s="27"/>
      <c r="Q1813" s="27"/>
      <c r="R1813" s="27"/>
    </row>
    <row r="1814" spans="1:18">
      <c r="A1814" s="28"/>
      <c r="B1814" s="29"/>
      <c r="C1814" s="29"/>
      <c r="D1814" s="29"/>
      <c r="E1814" s="29"/>
      <c r="H1814" s="27"/>
      <c r="K1814"/>
      <c r="P1814" s="27"/>
      <c r="Q1814" s="27"/>
      <c r="R1814" s="27"/>
    </row>
    <row r="1815" spans="1:18">
      <c r="A1815" s="28"/>
      <c r="B1815" s="29"/>
      <c r="C1815" s="29"/>
      <c r="D1815" s="29"/>
      <c r="E1815" s="29"/>
      <c r="H1815" s="27"/>
      <c r="K1815"/>
      <c r="P1815" s="27"/>
      <c r="Q1815" s="27"/>
      <c r="R1815" s="27"/>
    </row>
    <row r="1816" spans="1:18">
      <c r="A1816" s="28"/>
      <c r="B1816" s="29"/>
      <c r="C1816" s="29"/>
      <c r="D1816" s="29"/>
      <c r="E1816" s="29"/>
      <c r="H1816" s="27"/>
      <c r="K1816"/>
      <c r="P1816" s="27"/>
      <c r="Q1816" s="27"/>
      <c r="R1816" s="27"/>
    </row>
    <row r="1817" spans="1:18">
      <c r="A1817" s="28"/>
      <c r="B1817" s="29"/>
      <c r="C1817" s="29"/>
      <c r="D1817" s="29"/>
      <c r="E1817" s="29"/>
      <c r="H1817" s="27"/>
      <c r="K1817"/>
      <c r="P1817" s="27"/>
      <c r="Q1817" s="27"/>
      <c r="R1817" s="27"/>
    </row>
    <row r="1818" spans="1:18">
      <c r="A1818" s="28"/>
      <c r="B1818" s="29"/>
      <c r="C1818" s="29"/>
      <c r="D1818" s="29"/>
      <c r="E1818" s="29"/>
      <c r="H1818" s="27"/>
      <c r="K1818"/>
      <c r="P1818" s="27"/>
      <c r="Q1818" s="27"/>
      <c r="R1818" s="27"/>
    </row>
    <row r="1819" spans="1:18">
      <c r="A1819" s="28"/>
      <c r="B1819" s="29"/>
      <c r="C1819" s="29"/>
      <c r="D1819" s="29"/>
      <c r="E1819" s="29"/>
      <c r="H1819" s="27"/>
      <c r="K1819"/>
      <c r="P1819" s="27"/>
      <c r="Q1819" s="27"/>
      <c r="R1819" s="27"/>
    </row>
    <row r="1820" spans="1:18">
      <c r="A1820" s="28"/>
      <c r="B1820" s="29"/>
      <c r="C1820" s="29"/>
      <c r="D1820" s="29"/>
      <c r="E1820" s="29"/>
      <c r="H1820" s="27"/>
      <c r="K1820"/>
      <c r="P1820" s="27"/>
      <c r="Q1820" s="27"/>
      <c r="R1820" s="27"/>
    </row>
    <row r="1821" spans="1:18">
      <c r="A1821" s="28"/>
      <c r="B1821" s="29"/>
      <c r="C1821" s="29"/>
      <c r="D1821" s="29"/>
      <c r="E1821" s="29"/>
      <c r="H1821" s="27"/>
      <c r="K1821"/>
      <c r="P1821" s="27"/>
      <c r="Q1821" s="27"/>
      <c r="R1821" s="27"/>
    </row>
    <row r="1822" spans="1:18">
      <c r="A1822" s="28"/>
      <c r="B1822" s="29"/>
      <c r="C1822" s="29"/>
      <c r="D1822" s="29"/>
      <c r="E1822" s="29"/>
      <c r="H1822" s="27"/>
      <c r="K1822"/>
      <c r="P1822" s="27"/>
      <c r="Q1822" s="27"/>
      <c r="R1822" s="27"/>
    </row>
    <row r="1823" spans="1:18">
      <c r="A1823" s="28"/>
      <c r="B1823" s="29"/>
      <c r="C1823" s="29"/>
      <c r="D1823" s="29"/>
      <c r="E1823" s="29"/>
      <c r="H1823" s="27"/>
      <c r="K1823"/>
      <c r="P1823" s="27"/>
      <c r="Q1823" s="27"/>
      <c r="R1823" s="27"/>
    </row>
    <row r="1824" spans="1:18">
      <c r="A1824" s="28"/>
      <c r="B1824" s="29"/>
      <c r="C1824" s="29"/>
      <c r="D1824" s="29"/>
      <c r="E1824" s="29"/>
      <c r="H1824" s="27"/>
      <c r="K1824"/>
      <c r="P1824" s="27"/>
      <c r="Q1824" s="27"/>
      <c r="R1824" s="27"/>
    </row>
    <row r="1825" spans="1:18">
      <c r="A1825" s="28"/>
      <c r="B1825" s="29"/>
      <c r="C1825" s="29"/>
      <c r="D1825" s="29"/>
      <c r="E1825" s="29"/>
      <c r="H1825" s="27"/>
      <c r="K1825"/>
      <c r="P1825" s="27"/>
      <c r="Q1825" s="27"/>
      <c r="R1825" s="27"/>
    </row>
    <row r="1826" spans="1:18">
      <c r="A1826" s="28"/>
      <c r="B1826" s="29"/>
      <c r="C1826" s="29"/>
      <c r="D1826" s="29"/>
      <c r="E1826" s="29"/>
      <c r="H1826" s="27"/>
      <c r="K1826"/>
      <c r="P1826" s="27"/>
      <c r="Q1826" s="27"/>
      <c r="R1826" s="27"/>
    </row>
    <row r="1827" spans="1:18">
      <c r="A1827" s="28"/>
      <c r="B1827" s="29"/>
      <c r="C1827" s="29"/>
      <c r="D1827" s="29"/>
      <c r="E1827" s="29"/>
      <c r="H1827" s="27"/>
      <c r="K1827"/>
      <c r="P1827" s="27"/>
      <c r="Q1827" s="27"/>
      <c r="R1827" s="27"/>
    </row>
    <row r="1828" spans="1:18">
      <c r="A1828" s="28"/>
      <c r="B1828" s="29"/>
      <c r="C1828" s="29"/>
      <c r="D1828" s="29"/>
      <c r="E1828" s="29"/>
      <c r="H1828" s="27"/>
      <c r="K1828"/>
      <c r="P1828" s="27"/>
      <c r="Q1828" s="27"/>
      <c r="R1828" s="27"/>
    </row>
    <row r="1829" spans="1:18">
      <c r="A1829" s="28"/>
      <c r="B1829" s="29"/>
      <c r="C1829" s="29"/>
      <c r="D1829" s="29"/>
      <c r="E1829" s="29"/>
      <c r="H1829" s="27"/>
      <c r="K1829"/>
      <c r="P1829" s="27"/>
      <c r="Q1829" s="27"/>
      <c r="R1829" s="27"/>
    </row>
    <row r="1830" spans="1:18">
      <c r="A1830" s="28"/>
      <c r="B1830" s="29"/>
      <c r="C1830" s="29"/>
      <c r="D1830" s="29"/>
      <c r="E1830" s="29"/>
      <c r="H1830" s="27"/>
      <c r="K1830"/>
      <c r="P1830" s="27"/>
      <c r="Q1830" s="27"/>
      <c r="R1830" s="27"/>
    </row>
    <row r="1831" spans="1:18">
      <c r="A1831" s="28"/>
      <c r="B1831" s="29"/>
      <c r="C1831" s="29"/>
      <c r="D1831" s="29"/>
      <c r="E1831" s="29"/>
      <c r="H1831" s="27"/>
      <c r="K1831"/>
      <c r="P1831" s="27"/>
      <c r="Q1831" s="27"/>
      <c r="R1831" s="27"/>
    </row>
    <row r="1832" spans="1:18">
      <c r="A1832" s="28"/>
      <c r="B1832" s="29"/>
      <c r="C1832" s="29"/>
      <c r="D1832" s="29"/>
      <c r="E1832" s="29"/>
      <c r="H1832" s="27"/>
      <c r="K1832"/>
      <c r="P1832" s="27"/>
      <c r="Q1832" s="27"/>
      <c r="R1832" s="27"/>
    </row>
    <row r="1833" spans="1:18">
      <c r="A1833" s="28"/>
      <c r="B1833" s="29"/>
      <c r="C1833" s="29"/>
      <c r="D1833" s="29"/>
      <c r="E1833" s="29"/>
      <c r="H1833" s="27"/>
      <c r="K1833"/>
      <c r="P1833" s="27"/>
      <c r="Q1833" s="27"/>
      <c r="R1833" s="27"/>
    </row>
    <row r="1834" spans="1:18">
      <c r="A1834" s="28"/>
      <c r="B1834" s="29"/>
      <c r="C1834" s="29"/>
      <c r="D1834" s="29"/>
      <c r="E1834" s="29"/>
      <c r="H1834" s="27"/>
      <c r="K1834"/>
      <c r="P1834" s="27"/>
      <c r="Q1834" s="27"/>
      <c r="R1834" s="27"/>
    </row>
    <row r="1835" spans="1:18">
      <c r="A1835" s="28"/>
      <c r="B1835" s="29"/>
      <c r="C1835" s="29"/>
      <c r="D1835" s="29"/>
      <c r="E1835" s="29"/>
      <c r="H1835" s="27"/>
      <c r="K1835"/>
      <c r="P1835" s="27"/>
      <c r="Q1835" s="27"/>
      <c r="R1835" s="27"/>
    </row>
    <row r="1836" spans="1:18">
      <c r="A1836" s="28"/>
      <c r="B1836" s="29"/>
      <c r="C1836" s="29"/>
      <c r="D1836" s="29"/>
      <c r="E1836" s="29"/>
      <c r="H1836" s="27"/>
      <c r="K1836"/>
      <c r="P1836" s="27"/>
      <c r="Q1836" s="27"/>
      <c r="R1836" s="27"/>
    </row>
    <row r="1837" spans="1:18">
      <c r="A1837" s="28"/>
      <c r="B1837" s="29"/>
      <c r="C1837" s="29"/>
      <c r="D1837" s="29"/>
      <c r="E1837" s="29"/>
      <c r="H1837" s="27"/>
      <c r="K1837"/>
      <c r="P1837" s="27"/>
      <c r="Q1837" s="27"/>
      <c r="R1837" s="27"/>
    </row>
    <row r="1838" spans="1:18">
      <c r="A1838" s="28"/>
      <c r="B1838" s="29"/>
      <c r="C1838" s="29"/>
      <c r="D1838" s="29"/>
      <c r="E1838" s="29"/>
      <c r="H1838" s="27"/>
      <c r="K1838"/>
      <c r="P1838" s="27"/>
      <c r="Q1838" s="27"/>
      <c r="R1838" s="27"/>
    </row>
    <row r="1839" spans="1:18">
      <c r="A1839" s="28"/>
      <c r="B1839" s="29"/>
      <c r="C1839" s="29"/>
      <c r="D1839" s="29"/>
      <c r="E1839" s="29"/>
      <c r="H1839" s="27"/>
      <c r="K1839"/>
      <c r="P1839" s="27"/>
      <c r="Q1839" s="27"/>
      <c r="R1839" s="27"/>
    </row>
    <row r="1840" spans="1:18">
      <c r="A1840" s="28"/>
      <c r="B1840" s="29"/>
      <c r="C1840" s="29"/>
      <c r="D1840" s="29"/>
      <c r="E1840" s="29"/>
      <c r="H1840" s="27"/>
      <c r="K1840"/>
      <c r="P1840" s="27"/>
      <c r="Q1840" s="27"/>
      <c r="R1840" s="27"/>
    </row>
    <row r="1841" spans="1:18">
      <c r="A1841" s="28"/>
      <c r="B1841" s="29"/>
      <c r="C1841" s="29"/>
      <c r="D1841" s="29"/>
      <c r="E1841" s="29"/>
      <c r="H1841" s="27"/>
      <c r="K1841"/>
      <c r="P1841" s="27"/>
      <c r="Q1841" s="27"/>
      <c r="R1841" s="27"/>
    </row>
    <row r="1842" spans="1:18">
      <c r="A1842" s="28"/>
      <c r="B1842" s="29"/>
      <c r="C1842" s="29"/>
      <c r="D1842" s="29"/>
      <c r="E1842" s="29"/>
      <c r="H1842" s="27"/>
      <c r="K1842"/>
      <c r="P1842" s="27"/>
      <c r="Q1842" s="27"/>
      <c r="R1842" s="27"/>
    </row>
    <row r="1843" spans="1:18">
      <c r="A1843" s="28"/>
      <c r="B1843" s="29"/>
      <c r="C1843" s="29"/>
      <c r="D1843" s="29"/>
      <c r="E1843" s="29"/>
      <c r="H1843" s="27"/>
      <c r="K1843"/>
      <c r="P1843" s="27"/>
      <c r="Q1843" s="27"/>
      <c r="R1843" s="27"/>
    </row>
    <row r="1844" spans="1:18">
      <c r="A1844" s="28"/>
      <c r="B1844" s="29"/>
      <c r="C1844" s="29"/>
      <c r="D1844" s="29"/>
      <c r="E1844" s="29"/>
      <c r="H1844" s="27"/>
      <c r="K1844"/>
      <c r="P1844" s="27"/>
      <c r="Q1844" s="27"/>
      <c r="R1844" s="27"/>
    </row>
    <row r="1845" spans="1:18">
      <c r="A1845" s="28"/>
      <c r="B1845" s="29"/>
      <c r="C1845" s="29"/>
      <c r="D1845" s="29"/>
      <c r="E1845" s="29"/>
      <c r="H1845" s="27"/>
      <c r="K1845"/>
      <c r="P1845" s="27"/>
      <c r="Q1845" s="27"/>
      <c r="R1845" s="27"/>
    </row>
    <row r="1846" spans="1:18">
      <c r="A1846" s="28"/>
      <c r="B1846" s="29"/>
      <c r="C1846" s="29"/>
      <c r="D1846" s="29"/>
      <c r="E1846" s="29"/>
      <c r="H1846" s="27"/>
      <c r="K1846"/>
      <c r="P1846" s="27"/>
      <c r="Q1846" s="27"/>
      <c r="R1846" s="27"/>
    </row>
    <row r="1847" spans="1:18">
      <c r="A1847" s="28"/>
      <c r="B1847" s="29"/>
      <c r="C1847" s="29"/>
      <c r="D1847" s="29"/>
      <c r="E1847" s="29"/>
      <c r="H1847" s="27"/>
      <c r="K1847"/>
      <c r="P1847" s="27"/>
      <c r="Q1847" s="27"/>
      <c r="R1847" s="27"/>
    </row>
    <row r="1848" spans="1:18">
      <c r="A1848" s="28"/>
      <c r="B1848" s="29"/>
      <c r="C1848" s="29"/>
      <c r="D1848" s="29"/>
      <c r="E1848" s="29"/>
      <c r="H1848" s="27"/>
      <c r="K1848"/>
      <c r="P1848" s="27"/>
      <c r="Q1848" s="27"/>
      <c r="R1848" s="27"/>
    </row>
    <row r="1849" spans="1:18">
      <c r="A1849" s="28"/>
      <c r="B1849" s="29"/>
      <c r="C1849" s="29"/>
      <c r="D1849" s="29"/>
      <c r="E1849" s="29"/>
      <c r="H1849" s="27"/>
      <c r="K1849"/>
      <c r="P1849" s="27"/>
      <c r="Q1849" s="27"/>
      <c r="R1849" s="27"/>
    </row>
    <row r="1850" spans="1:18">
      <c r="A1850" s="28"/>
      <c r="B1850" s="29"/>
      <c r="C1850" s="29"/>
      <c r="D1850" s="29"/>
      <c r="E1850" s="29"/>
      <c r="H1850" s="27"/>
      <c r="K1850"/>
      <c r="P1850" s="27"/>
      <c r="Q1850" s="27"/>
      <c r="R1850" s="27"/>
    </row>
    <row r="1851" spans="1:18">
      <c r="A1851" s="28"/>
      <c r="B1851" s="29"/>
      <c r="C1851" s="29"/>
      <c r="D1851" s="29"/>
      <c r="E1851" s="29"/>
      <c r="H1851" s="27"/>
      <c r="K1851"/>
      <c r="P1851" s="27"/>
      <c r="Q1851" s="27"/>
      <c r="R1851" s="27"/>
    </row>
    <row r="1852" spans="1:18">
      <c r="A1852" s="28"/>
      <c r="B1852" s="29"/>
      <c r="C1852" s="29"/>
      <c r="D1852" s="29"/>
      <c r="E1852" s="29"/>
      <c r="H1852" s="27"/>
      <c r="K1852"/>
      <c r="P1852" s="27"/>
      <c r="Q1852" s="27"/>
      <c r="R1852" s="27"/>
    </row>
    <row r="1853" spans="1:18">
      <c r="A1853" s="28"/>
      <c r="B1853" s="29"/>
      <c r="C1853" s="29"/>
      <c r="D1853" s="29"/>
      <c r="E1853" s="29"/>
      <c r="H1853" s="27"/>
      <c r="K1853"/>
      <c r="P1853" s="27"/>
      <c r="Q1853" s="27"/>
      <c r="R1853" s="27"/>
    </row>
    <row r="1854" spans="1:18">
      <c r="A1854" s="28"/>
      <c r="B1854" s="29"/>
      <c r="C1854" s="29"/>
      <c r="D1854" s="29"/>
      <c r="E1854" s="29"/>
      <c r="H1854" s="27"/>
      <c r="K1854"/>
      <c r="P1854" s="27"/>
      <c r="Q1854" s="27"/>
      <c r="R1854" s="27"/>
    </row>
    <row r="1855" spans="1:18">
      <c r="A1855" s="28"/>
      <c r="B1855" s="29"/>
      <c r="C1855" s="29"/>
      <c r="D1855" s="29"/>
      <c r="E1855" s="29"/>
      <c r="H1855" s="27"/>
      <c r="K1855"/>
      <c r="P1855" s="27"/>
      <c r="Q1855" s="27"/>
      <c r="R1855" s="27"/>
    </row>
    <row r="1856" spans="1:18">
      <c r="A1856" s="28"/>
      <c r="B1856" s="29"/>
      <c r="C1856" s="29"/>
      <c r="D1856" s="29"/>
      <c r="E1856" s="29"/>
      <c r="H1856" s="27"/>
      <c r="K1856"/>
      <c r="P1856" s="27"/>
      <c r="Q1856" s="27"/>
      <c r="R1856" s="27"/>
    </row>
    <row r="1857" spans="1:18">
      <c r="A1857" s="28"/>
      <c r="B1857" s="29"/>
      <c r="C1857" s="29"/>
      <c r="D1857" s="29"/>
      <c r="E1857" s="29"/>
      <c r="H1857" s="27"/>
      <c r="K1857"/>
      <c r="P1857" s="27"/>
      <c r="Q1857" s="27"/>
      <c r="R1857" s="27"/>
    </row>
    <row r="1858" spans="1:18">
      <c r="A1858" s="28"/>
      <c r="B1858" s="29"/>
      <c r="C1858" s="29"/>
      <c r="D1858" s="29"/>
      <c r="E1858" s="29"/>
      <c r="H1858" s="27"/>
      <c r="K1858"/>
      <c r="P1858" s="27"/>
      <c r="Q1858" s="27"/>
      <c r="R1858" s="27"/>
    </row>
    <row r="1859" spans="1:18">
      <c r="A1859" s="28"/>
      <c r="B1859" s="29"/>
      <c r="C1859" s="29"/>
      <c r="D1859" s="29"/>
      <c r="E1859" s="29"/>
      <c r="H1859" s="27"/>
      <c r="K1859"/>
      <c r="P1859" s="27"/>
      <c r="Q1859" s="27"/>
      <c r="R1859" s="27"/>
    </row>
    <row r="1860" spans="1:18">
      <c r="A1860" s="28"/>
      <c r="B1860" s="29"/>
      <c r="C1860" s="29"/>
      <c r="D1860" s="29"/>
      <c r="E1860" s="29"/>
      <c r="H1860" s="27"/>
      <c r="K1860"/>
      <c r="P1860" s="27"/>
      <c r="Q1860" s="27"/>
      <c r="R1860" s="27"/>
    </row>
    <row r="1861" spans="1:18">
      <c r="A1861" s="28"/>
      <c r="B1861" s="29"/>
      <c r="C1861" s="29"/>
      <c r="D1861" s="29"/>
      <c r="E1861" s="29"/>
      <c r="H1861" s="27"/>
      <c r="K1861"/>
      <c r="P1861" s="27"/>
      <c r="Q1861" s="27"/>
      <c r="R1861" s="27"/>
    </row>
    <row r="1862" spans="1:18">
      <c r="A1862" s="28"/>
      <c r="B1862" s="29"/>
      <c r="C1862" s="29"/>
      <c r="D1862" s="29"/>
      <c r="E1862" s="29"/>
      <c r="H1862" s="27"/>
      <c r="K1862"/>
      <c r="P1862" s="27"/>
      <c r="Q1862" s="27"/>
      <c r="R1862" s="27"/>
    </row>
    <row r="1863" spans="1:18">
      <c r="A1863" s="28"/>
      <c r="B1863" s="29"/>
      <c r="C1863" s="29"/>
      <c r="D1863" s="29"/>
      <c r="E1863" s="29"/>
      <c r="H1863" s="27"/>
      <c r="K1863"/>
      <c r="P1863" s="27"/>
      <c r="Q1863" s="27"/>
      <c r="R1863" s="27"/>
    </row>
    <row r="1864" spans="1:18">
      <c r="A1864" s="28"/>
      <c r="B1864" s="29"/>
      <c r="C1864" s="29"/>
      <c r="D1864" s="29"/>
      <c r="E1864" s="29"/>
      <c r="H1864" s="27"/>
      <c r="K1864"/>
      <c r="P1864" s="27"/>
      <c r="Q1864" s="27"/>
      <c r="R1864" s="27"/>
    </row>
    <row r="1865" spans="1:18">
      <c r="A1865" s="28"/>
      <c r="B1865" s="29"/>
      <c r="C1865" s="29"/>
      <c r="D1865" s="29"/>
      <c r="E1865" s="29"/>
      <c r="H1865" s="27"/>
      <c r="K1865"/>
      <c r="P1865" s="27"/>
      <c r="Q1865" s="27"/>
      <c r="R1865" s="27"/>
    </row>
    <row r="1866" spans="1:18">
      <c r="A1866" s="28"/>
      <c r="B1866" s="29"/>
      <c r="C1866" s="29"/>
      <c r="D1866" s="29"/>
      <c r="E1866" s="29"/>
      <c r="H1866" s="27"/>
      <c r="K1866"/>
      <c r="P1866" s="27"/>
      <c r="Q1866" s="27"/>
      <c r="R1866" s="27"/>
    </row>
    <row r="1867" spans="1:18">
      <c r="A1867" s="28"/>
      <c r="B1867" s="29"/>
      <c r="C1867" s="29"/>
      <c r="D1867" s="29"/>
      <c r="E1867" s="29"/>
      <c r="H1867" s="27"/>
      <c r="K1867"/>
      <c r="P1867" s="27"/>
      <c r="Q1867" s="27"/>
      <c r="R1867" s="27"/>
    </row>
    <row r="1868" spans="1:18">
      <c r="A1868" s="28"/>
      <c r="B1868" s="29"/>
      <c r="C1868" s="29"/>
      <c r="D1868" s="29"/>
      <c r="E1868" s="29"/>
      <c r="H1868" s="27"/>
      <c r="K1868"/>
      <c r="P1868" s="27"/>
      <c r="Q1868" s="27"/>
      <c r="R1868" s="27"/>
    </row>
    <row r="1869" spans="1:18">
      <c r="A1869" s="28"/>
      <c r="B1869" s="29"/>
      <c r="C1869" s="29"/>
      <c r="D1869" s="29"/>
      <c r="E1869" s="29"/>
      <c r="H1869" s="27"/>
      <c r="K1869"/>
      <c r="P1869" s="27"/>
      <c r="Q1869" s="27"/>
      <c r="R1869" s="27"/>
    </row>
    <row r="1870" spans="1:18">
      <c r="A1870" s="28"/>
      <c r="B1870" s="29"/>
      <c r="C1870" s="29"/>
      <c r="D1870" s="29"/>
      <c r="E1870" s="29"/>
      <c r="H1870" s="27"/>
      <c r="K1870"/>
      <c r="P1870" s="27"/>
      <c r="Q1870" s="27"/>
      <c r="R1870" s="27"/>
    </row>
    <row r="1871" spans="1:18">
      <c r="A1871" s="28"/>
      <c r="B1871" s="29"/>
      <c r="C1871" s="29"/>
      <c r="D1871" s="29"/>
      <c r="E1871" s="29"/>
      <c r="H1871" s="27"/>
      <c r="K1871"/>
      <c r="P1871" s="27"/>
      <c r="Q1871" s="27"/>
      <c r="R1871" s="27"/>
    </row>
    <row r="1872" spans="1:18">
      <c r="A1872" s="28"/>
      <c r="B1872" s="29"/>
      <c r="C1872" s="29"/>
      <c r="D1872" s="29"/>
      <c r="E1872" s="29"/>
      <c r="H1872" s="27"/>
      <c r="K1872"/>
      <c r="P1872" s="27"/>
      <c r="Q1872" s="27"/>
      <c r="R1872" s="27"/>
    </row>
    <row r="1873" spans="1:18">
      <c r="A1873" s="28"/>
      <c r="B1873" s="29"/>
      <c r="C1873" s="29"/>
      <c r="D1873" s="29"/>
      <c r="E1873" s="29"/>
      <c r="H1873" s="27"/>
      <c r="K1873"/>
      <c r="P1873" s="27"/>
      <c r="Q1873" s="27"/>
      <c r="R1873" s="27"/>
    </row>
    <row r="1874" spans="1:18">
      <c r="A1874" s="28"/>
      <c r="B1874" s="29"/>
      <c r="C1874" s="29"/>
      <c r="D1874" s="29"/>
      <c r="E1874" s="29"/>
      <c r="H1874" s="27"/>
      <c r="K1874"/>
      <c r="P1874" s="27"/>
      <c r="Q1874" s="27"/>
      <c r="R1874" s="27"/>
    </row>
    <row r="1875" spans="1:18">
      <c r="A1875" s="28"/>
      <c r="B1875" s="29"/>
      <c r="C1875" s="29"/>
      <c r="D1875" s="29"/>
      <c r="E1875" s="29"/>
      <c r="H1875" s="27"/>
      <c r="K1875"/>
      <c r="P1875" s="27"/>
      <c r="Q1875" s="27"/>
      <c r="R1875" s="27"/>
    </row>
    <row r="1876" spans="1:18">
      <c r="A1876" s="28"/>
      <c r="B1876" s="29"/>
      <c r="C1876" s="29"/>
      <c r="D1876" s="29"/>
      <c r="E1876" s="29"/>
      <c r="H1876" s="27"/>
      <c r="K1876"/>
      <c r="P1876" s="27"/>
      <c r="Q1876" s="27"/>
      <c r="R1876" s="27"/>
    </row>
    <row r="1877" spans="1:18">
      <c r="A1877" s="28"/>
      <c r="B1877" s="29"/>
      <c r="C1877" s="29"/>
      <c r="D1877" s="29"/>
      <c r="E1877" s="29"/>
      <c r="H1877" s="27"/>
      <c r="K1877"/>
      <c r="P1877" s="27"/>
      <c r="Q1877" s="27"/>
      <c r="R1877" s="27"/>
    </row>
    <row r="1878" spans="1:18">
      <c r="A1878" s="28"/>
      <c r="B1878" s="29"/>
      <c r="C1878" s="29"/>
      <c r="D1878" s="29"/>
      <c r="E1878" s="29"/>
      <c r="H1878" s="27"/>
      <c r="K1878"/>
      <c r="P1878" s="27"/>
      <c r="Q1878" s="27"/>
      <c r="R1878" s="27"/>
    </row>
    <row r="1879" spans="1:18">
      <c r="A1879" s="28"/>
      <c r="B1879" s="29"/>
      <c r="C1879" s="29"/>
      <c r="D1879" s="29"/>
      <c r="E1879" s="29"/>
      <c r="H1879" s="27"/>
      <c r="K1879"/>
      <c r="P1879" s="27"/>
      <c r="Q1879" s="27"/>
      <c r="R1879" s="27"/>
    </row>
    <row r="1880" spans="1:18">
      <c r="A1880" s="28"/>
      <c r="B1880" s="29"/>
      <c r="C1880" s="29"/>
      <c r="D1880" s="29"/>
      <c r="E1880" s="29"/>
      <c r="H1880" s="27"/>
      <c r="K1880"/>
      <c r="P1880" s="27"/>
      <c r="Q1880" s="27"/>
      <c r="R1880" s="27"/>
    </row>
    <row r="1881" spans="1:18">
      <c r="A1881" s="28"/>
      <c r="B1881" s="29"/>
      <c r="C1881" s="29"/>
      <c r="D1881" s="29"/>
      <c r="E1881" s="29"/>
      <c r="H1881" s="27"/>
      <c r="K1881"/>
      <c r="P1881" s="27"/>
      <c r="Q1881" s="27"/>
      <c r="R1881" s="27"/>
    </row>
    <row r="1882" spans="1:18">
      <c r="A1882" s="28"/>
      <c r="B1882" s="29"/>
      <c r="C1882" s="29"/>
      <c r="D1882" s="29"/>
      <c r="E1882" s="29"/>
      <c r="H1882" s="27"/>
      <c r="K1882"/>
      <c r="P1882" s="27"/>
      <c r="Q1882" s="27"/>
      <c r="R1882" s="27"/>
    </row>
    <row r="1883" spans="1:18">
      <c r="A1883" s="28"/>
      <c r="B1883" s="29"/>
      <c r="C1883" s="29"/>
      <c r="D1883" s="29"/>
      <c r="E1883" s="29"/>
      <c r="H1883" s="27"/>
      <c r="K1883"/>
      <c r="P1883" s="27"/>
      <c r="Q1883" s="27"/>
      <c r="R1883" s="27"/>
    </row>
    <row r="1884" spans="1:18">
      <c r="A1884" s="28"/>
      <c r="B1884" s="29"/>
      <c r="C1884" s="29"/>
      <c r="D1884" s="29"/>
      <c r="E1884" s="29"/>
      <c r="H1884" s="27"/>
      <c r="K1884"/>
      <c r="P1884" s="27"/>
      <c r="Q1884" s="27"/>
      <c r="R1884" s="27"/>
    </row>
    <row r="1885" spans="1:18">
      <c r="A1885" s="28"/>
      <c r="B1885" s="29"/>
      <c r="C1885" s="29"/>
      <c r="D1885" s="29"/>
      <c r="E1885" s="29"/>
      <c r="H1885" s="27"/>
      <c r="K1885"/>
      <c r="P1885" s="27"/>
      <c r="Q1885" s="27"/>
      <c r="R1885" s="27"/>
    </row>
    <row r="1886" spans="1:18">
      <c r="A1886" s="28"/>
      <c r="B1886" s="29"/>
      <c r="C1886" s="29"/>
      <c r="D1886" s="29"/>
      <c r="E1886" s="29"/>
      <c r="H1886" s="27"/>
      <c r="K1886"/>
      <c r="P1886" s="27"/>
      <c r="Q1886" s="27"/>
      <c r="R1886" s="27"/>
    </row>
    <row r="1887" spans="1:18">
      <c r="A1887" s="28"/>
      <c r="B1887" s="29"/>
      <c r="C1887" s="29"/>
      <c r="D1887" s="29"/>
      <c r="E1887" s="29"/>
      <c r="H1887" s="27"/>
      <c r="K1887"/>
      <c r="P1887" s="27"/>
      <c r="Q1887" s="27"/>
      <c r="R1887" s="27"/>
    </row>
    <row r="1888" spans="1:18">
      <c r="A1888" s="28"/>
      <c r="B1888" s="29"/>
      <c r="C1888" s="29"/>
      <c r="D1888" s="29"/>
      <c r="E1888" s="29"/>
      <c r="H1888" s="27"/>
      <c r="K1888"/>
      <c r="P1888" s="27"/>
      <c r="Q1888" s="27"/>
      <c r="R1888" s="27"/>
    </row>
    <row r="1889" spans="1:18">
      <c r="A1889" s="28"/>
      <c r="B1889" s="29"/>
      <c r="C1889" s="29"/>
      <c r="D1889" s="29"/>
      <c r="E1889" s="29"/>
      <c r="H1889" s="27"/>
      <c r="K1889"/>
      <c r="P1889" s="27"/>
      <c r="Q1889" s="27"/>
      <c r="R1889" s="27"/>
    </row>
    <row r="1890" spans="1:18">
      <c r="A1890" s="28"/>
      <c r="B1890" s="29"/>
      <c r="C1890" s="29"/>
      <c r="D1890" s="29"/>
      <c r="E1890" s="29"/>
      <c r="H1890" s="27"/>
      <c r="K1890"/>
      <c r="P1890" s="27"/>
      <c r="Q1890" s="27"/>
      <c r="R1890" s="27"/>
    </row>
    <row r="1891" spans="1:18">
      <c r="A1891" s="28"/>
      <c r="B1891" s="29"/>
      <c r="C1891" s="29"/>
      <c r="D1891" s="29"/>
      <c r="E1891" s="29"/>
      <c r="H1891" s="27"/>
      <c r="K1891"/>
      <c r="P1891" s="27"/>
      <c r="Q1891" s="27"/>
      <c r="R1891" s="27"/>
    </row>
    <row r="1892" spans="1:18">
      <c r="A1892" s="28"/>
      <c r="B1892" s="29"/>
      <c r="C1892" s="29"/>
      <c r="D1892" s="29"/>
      <c r="E1892" s="29"/>
      <c r="H1892" s="27"/>
      <c r="K1892"/>
      <c r="P1892" s="27"/>
      <c r="Q1892" s="27"/>
      <c r="R1892" s="27"/>
    </row>
    <row r="1893" spans="1:18">
      <c r="A1893" s="28"/>
      <c r="B1893" s="29"/>
      <c r="C1893" s="29"/>
      <c r="D1893" s="29"/>
      <c r="E1893" s="29"/>
      <c r="H1893" s="27"/>
      <c r="K1893"/>
      <c r="P1893" s="27"/>
      <c r="Q1893" s="27"/>
      <c r="R1893" s="27"/>
    </row>
    <row r="1894" spans="1:18">
      <c r="A1894" s="28"/>
      <c r="B1894" s="29"/>
      <c r="C1894" s="29"/>
      <c r="D1894" s="29"/>
      <c r="E1894" s="29"/>
      <c r="H1894" s="27"/>
      <c r="K1894"/>
      <c r="P1894" s="27"/>
      <c r="Q1894" s="27"/>
      <c r="R1894" s="27"/>
    </row>
    <row r="1895" spans="1:18">
      <c r="A1895" s="28"/>
      <c r="B1895" s="29"/>
      <c r="C1895" s="29"/>
      <c r="D1895" s="29"/>
      <c r="E1895" s="29"/>
      <c r="H1895" s="27"/>
      <c r="K1895"/>
      <c r="P1895" s="27"/>
      <c r="Q1895" s="27"/>
      <c r="R1895" s="27"/>
    </row>
    <row r="1896" spans="1:18">
      <c r="A1896" s="28"/>
      <c r="B1896" s="29"/>
      <c r="C1896" s="29"/>
      <c r="D1896" s="29"/>
      <c r="E1896" s="29"/>
      <c r="H1896" s="27"/>
      <c r="K1896"/>
      <c r="P1896" s="27"/>
      <c r="Q1896" s="27"/>
      <c r="R1896" s="27"/>
    </row>
    <row r="1897" spans="1:18">
      <c r="A1897" s="28"/>
      <c r="B1897" s="29"/>
      <c r="C1897" s="29"/>
      <c r="D1897" s="29"/>
      <c r="E1897" s="29"/>
      <c r="H1897" s="27"/>
      <c r="K1897"/>
      <c r="P1897" s="27"/>
      <c r="Q1897" s="27"/>
      <c r="R1897" s="27"/>
    </row>
    <row r="1898" spans="1:18">
      <c r="A1898" s="28"/>
      <c r="B1898" s="29"/>
      <c r="C1898" s="29"/>
      <c r="D1898" s="29"/>
      <c r="E1898" s="29"/>
      <c r="H1898" s="27"/>
      <c r="K1898"/>
      <c r="P1898" s="27"/>
      <c r="Q1898" s="27"/>
      <c r="R1898" s="27"/>
    </row>
    <row r="1899" spans="1:18">
      <c r="A1899" s="28"/>
      <c r="B1899" s="29"/>
      <c r="C1899" s="29"/>
      <c r="D1899" s="29"/>
      <c r="E1899" s="29"/>
      <c r="H1899" s="27"/>
      <c r="K1899"/>
      <c r="P1899" s="27"/>
      <c r="Q1899" s="27"/>
      <c r="R1899" s="27"/>
    </row>
    <row r="1900" spans="1:18">
      <c r="A1900" s="28"/>
      <c r="B1900" s="29"/>
      <c r="C1900" s="29"/>
      <c r="D1900" s="29"/>
      <c r="E1900" s="29"/>
      <c r="H1900" s="27"/>
      <c r="K1900"/>
      <c r="P1900" s="27"/>
      <c r="Q1900" s="27"/>
      <c r="R1900" s="27"/>
    </row>
    <row r="1901" spans="1:18">
      <c r="A1901" s="28"/>
      <c r="B1901" s="29"/>
      <c r="C1901" s="29"/>
      <c r="D1901" s="29"/>
      <c r="E1901" s="29"/>
      <c r="H1901" s="27"/>
      <c r="K1901"/>
      <c r="P1901" s="27"/>
      <c r="Q1901" s="27"/>
      <c r="R1901" s="27"/>
    </row>
    <row r="1902" spans="1:18">
      <c r="A1902" s="28"/>
      <c r="B1902" s="29"/>
      <c r="C1902" s="29"/>
      <c r="D1902" s="29"/>
      <c r="E1902" s="29"/>
      <c r="H1902" s="27"/>
      <c r="K1902"/>
      <c r="P1902" s="27"/>
      <c r="Q1902" s="27"/>
      <c r="R1902" s="27"/>
    </row>
    <row r="1903" spans="1:18">
      <c r="A1903" s="28"/>
      <c r="B1903" s="29"/>
      <c r="C1903" s="29"/>
      <c r="D1903" s="29"/>
      <c r="E1903" s="29"/>
      <c r="H1903" s="27"/>
      <c r="K1903"/>
      <c r="P1903" s="27"/>
      <c r="Q1903" s="27"/>
      <c r="R1903" s="27"/>
    </row>
    <row r="1904" spans="1:18">
      <c r="A1904" s="28"/>
      <c r="B1904" s="29"/>
      <c r="C1904" s="29"/>
      <c r="D1904" s="29"/>
      <c r="E1904" s="29"/>
      <c r="H1904" s="27"/>
      <c r="K1904"/>
      <c r="P1904" s="27"/>
      <c r="Q1904" s="27"/>
      <c r="R1904" s="27"/>
    </row>
    <row r="1905" spans="1:18">
      <c r="A1905" s="28"/>
      <c r="B1905" s="29"/>
      <c r="C1905" s="29"/>
      <c r="D1905" s="29"/>
      <c r="E1905" s="29"/>
      <c r="H1905" s="27"/>
      <c r="K1905"/>
      <c r="P1905" s="27"/>
      <c r="Q1905" s="27"/>
      <c r="R1905" s="27"/>
    </row>
    <row r="1906" spans="1:18">
      <c r="A1906" s="28"/>
      <c r="B1906" s="29"/>
      <c r="C1906" s="29"/>
      <c r="D1906" s="29"/>
      <c r="E1906" s="29"/>
      <c r="H1906" s="27"/>
      <c r="K1906"/>
      <c r="P1906" s="27"/>
      <c r="Q1906" s="27"/>
      <c r="R1906" s="27"/>
    </row>
    <row r="1907" spans="1:18">
      <c r="A1907" s="28"/>
      <c r="B1907" s="29"/>
      <c r="C1907" s="29"/>
      <c r="D1907" s="29"/>
      <c r="E1907" s="29"/>
      <c r="H1907" s="27"/>
      <c r="K1907"/>
      <c r="P1907" s="27"/>
      <c r="Q1907" s="27"/>
      <c r="R1907" s="27"/>
    </row>
    <row r="1908" spans="1:18">
      <c r="A1908" s="28"/>
      <c r="B1908" s="29"/>
      <c r="C1908" s="29"/>
      <c r="D1908" s="29"/>
      <c r="E1908" s="29"/>
      <c r="H1908" s="27"/>
      <c r="K1908"/>
      <c r="P1908" s="27"/>
      <c r="Q1908" s="27"/>
      <c r="R1908" s="27"/>
    </row>
    <row r="1909" spans="1:18">
      <c r="A1909" s="28"/>
      <c r="B1909" s="29"/>
      <c r="C1909" s="29"/>
      <c r="D1909" s="29"/>
      <c r="E1909" s="29"/>
      <c r="H1909" s="27"/>
      <c r="K1909"/>
      <c r="P1909" s="27"/>
      <c r="Q1909" s="27"/>
      <c r="R1909" s="27"/>
    </row>
    <row r="1910" spans="1:18">
      <c r="A1910" s="28"/>
      <c r="B1910" s="29"/>
      <c r="C1910" s="29"/>
      <c r="D1910" s="29"/>
      <c r="E1910" s="29"/>
      <c r="H1910" s="27"/>
      <c r="K1910"/>
      <c r="P1910" s="27"/>
      <c r="Q1910" s="27"/>
      <c r="R1910" s="27"/>
    </row>
    <row r="1911" spans="1:18">
      <c r="A1911" s="28"/>
      <c r="B1911" s="29"/>
      <c r="C1911" s="29"/>
      <c r="D1911" s="29"/>
      <c r="E1911" s="29"/>
      <c r="H1911" s="27"/>
      <c r="K1911"/>
      <c r="P1911" s="27"/>
      <c r="Q1911" s="27"/>
      <c r="R1911" s="27"/>
    </row>
    <row r="1912" spans="1:18">
      <c r="A1912" s="28"/>
      <c r="B1912" s="29"/>
      <c r="C1912" s="29"/>
      <c r="D1912" s="29"/>
      <c r="E1912" s="29"/>
      <c r="H1912" s="27"/>
      <c r="K1912"/>
      <c r="P1912" s="27"/>
      <c r="Q1912" s="27"/>
      <c r="R1912" s="27"/>
    </row>
    <row r="1913" spans="1:18">
      <c r="A1913" s="28"/>
      <c r="B1913" s="29"/>
      <c r="C1913" s="29"/>
      <c r="D1913" s="29"/>
      <c r="E1913" s="29"/>
      <c r="H1913" s="27"/>
      <c r="K1913"/>
      <c r="P1913" s="27"/>
      <c r="Q1913" s="27"/>
      <c r="R1913" s="27"/>
    </row>
    <row r="1914" spans="1:18">
      <c r="A1914" s="28"/>
      <c r="B1914" s="29"/>
      <c r="C1914" s="29"/>
      <c r="D1914" s="29"/>
      <c r="E1914" s="29"/>
      <c r="H1914" s="27"/>
      <c r="K1914"/>
      <c r="P1914" s="27"/>
      <c r="Q1914" s="27"/>
      <c r="R1914" s="27"/>
    </row>
    <row r="1915" spans="1:18">
      <c r="A1915" s="28"/>
      <c r="B1915" s="29"/>
      <c r="C1915" s="29"/>
      <c r="D1915" s="29"/>
      <c r="E1915" s="29"/>
      <c r="H1915" s="27"/>
      <c r="K1915"/>
      <c r="P1915" s="27"/>
      <c r="Q1915" s="27"/>
      <c r="R1915" s="27"/>
    </row>
    <row r="1916" spans="1:18">
      <c r="A1916" s="28"/>
      <c r="B1916" s="29"/>
      <c r="C1916" s="29"/>
      <c r="D1916" s="29"/>
      <c r="E1916" s="29"/>
      <c r="H1916" s="27"/>
      <c r="K1916"/>
      <c r="P1916" s="27"/>
      <c r="Q1916" s="27"/>
      <c r="R1916" s="27"/>
    </row>
    <row r="1917" spans="1:18">
      <c r="A1917" s="28"/>
      <c r="B1917" s="29"/>
      <c r="C1917" s="29"/>
      <c r="D1917" s="29"/>
      <c r="E1917" s="29"/>
      <c r="H1917" s="27"/>
      <c r="K1917"/>
      <c r="P1917" s="27"/>
      <c r="Q1917" s="27"/>
      <c r="R1917" s="27"/>
    </row>
    <row r="1918" spans="1:18">
      <c r="A1918" s="28"/>
      <c r="B1918" s="29"/>
      <c r="C1918" s="29"/>
      <c r="D1918" s="29"/>
      <c r="E1918" s="29"/>
      <c r="H1918" s="27"/>
      <c r="K1918"/>
      <c r="P1918" s="27"/>
      <c r="Q1918" s="27"/>
      <c r="R1918" s="27"/>
    </row>
    <row r="1919" spans="1:18">
      <c r="A1919" s="28"/>
      <c r="B1919" s="29"/>
      <c r="C1919" s="29"/>
      <c r="D1919" s="29"/>
      <c r="E1919" s="29"/>
      <c r="H1919" s="27"/>
      <c r="K1919"/>
      <c r="P1919" s="27"/>
      <c r="Q1919" s="27"/>
      <c r="R1919" s="27"/>
    </row>
    <row r="1920" spans="1:18">
      <c r="A1920" s="28"/>
      <c r="B1920" s="29"/>
      <c r="C1920" s="29"/>
      <c r="D1920" s="29"/>
      <c r="E1920" s="29"/>
      <c r="H1920" s="27"/>
      <c r="K1920"/>
      <c r="P1920" s="27"/>
      <c r="Q1920" s="27"/>
      <c r="R1920" s="27"/>
    </row>
    <row r="1921" spans="1:18">
      <c r="A1921" s="28"/>
      <c r="B1921" s="29"/>
      <c r="C1921" s="29"/>
      <c r="D1921" s="29"/>
      <c r="E1921" s="29"/>
      <c r="H1921" s="27"/>
      <c r="K1921"/>
      <c r="P1921" s="27"/>
      <c r="Q1921" s="27"/>
      <c r="R1921" s="27"/>
    </row>
    <row r="1922" spans="1:18">
      <c r="A1922" s="28"/>
      <c r="B1922" s="29"/>
      <c r="C1922" s="29"/>
      <c r="D1922" s="29"/>
      <c r="E1922" s="29"/>
      <c r="H1922" s="27"/>
      <c r="K1922"/>
      <c r="P1922" s="27"/>
      <c r="Q1922" s="27"/>
      <c r="R1922" s="27"/>
    </row>
    <row r="1923" spans="1:18">
      <c r="A1923" s="28"/>
      <c r="B1923" s="29"/>
      <c r="C1923" s="29"/>
      <c r="D1923" s="29"/>
      <c r="E1923" s="29"/>
      <c r="H1923" s="27"/>
      <c r="K1923"/>
      <c r="P1923" s="27"/>
      <c r="Q1923" s="27"/>
      <c r="R1923" s="27"/>
    </row>
    <row r="1924" spans="1:18">
      <c r="A1924" s="28"/>
      <c r="B1924" s="29"/>
      <c r="C1924" s="29"/>
      <c r="D1924" s="29"/>
      <c r="E1924" s="29"/>
      <c r="H1924" s="27"/>
      <c r="K1924"/>
      <c r="P1924" s="27"/>
      <c r="Q1924" s="27"/>
      <c r="R1924" s="27"/>
    </row>
    <row r="1925" spans="1:18">
      <c r="A1925" s="28"/>
      <c r="B1925" s="29"/>
      <c r="C1925" s="29"/>
      <c r="D1925" s="29"/>
      <c r="E1925" s="29"/>
      <c r="H1925" s="27"/>
      <c r="K1925"/>
      <c r="P1925" s="27"/>
      <c r="Q1925" s="27"/>
      <c r="R1925" s="27"/>
    </row>
    <row r="1926" spans="1:18">
      <c r="A1926" s="28"/>
      <c r="B1926" s="29"/>
      <c r="C1926" s="29"/>
      <c r="D1926" s="29"/>
      <c r="E1926" s="29"/>
      <c r="H1926" s="27"/>
      <c r="K1926"/>
      <c r="P1926" s="27"/>
      <c r="Q1926" s="27"/>
      <c r="R1926" s="27"/>
    </row>
    <row r="1927" spans="1:18">
      <c r="A1927" s="28"/>
      <c r="B1927" s="29"/>
      <c r="C1927" s="29"/>
      <c r="D1927" s="29"/>
      <c r="E1927" s="29"/>
      <c r="H1927" s="27"/>
      <c r="K1927"/>
      <c r="P1927" s="27"/>
      <c r="Q1927" s="27"/>
      <c r="R1927" s="27"/>
    </row>
    <row r="1928" spans="1:18">
      <c r="A1928" s="28"/>
      <c r="B1928" s="29"/>
      <c r="C1928" s="29"/>
      <c r="D1928" s="29"/>
      <c r="E1928" s="29"/>
      <c r="H1928" s="27"/>
      <c r="K1928"/>
      <c r="P1928" s="27"/>
      <c r="Q1928" s="27"/>
      <c r="R1928" s="27"/>
    </row>
    <row r="1929" spans="1:18">
      <c r="A1929" s="28"/>
      <c r="B1929" s="29"/>
      <c r="C1929" s="29"/>
      <c r="D1929" s="29"/>
      <c r="E1929" s="29"/>
      <c r="H1929" s="27"/>
      <c r="K1929"/>
      <c r="P1929" s="27"/>
      <c r="Q1929" s="27"/>
      <c r="R1929" s="27"/>
    </row>
    <row r="1930" spans="1:18">
      <c r="A1930" s="28"/>
      <c r="B1930" s="29"/>
      <c r="C1930" s="29"/>
      <c r="D1930" s="29"/>
      <c r="E1930" s="29"/>
      <c r="H1930" s="27"/>
      <c r="K1930"/>
      <c r="P1930" s="27"/>
      <c r="Q1930" s="27"/>
      <c r="R1930" s="27"/>
    </row>
    <row r="1931" spans="1:18">
      <c r="A1931" s="28"/>
      <c r="B1931" s="29"/>
      <c r="C1931" s="29"/>
      <c r="D1931" s="29"/>
      <c r="E1931" s="29"/>
      <c r="H1931" s="27"/>
      <c r="K1931"/>
      <c r="P1931" s="27"/>
      <c r="Q1931" s="27"/>
      <c r="R1931" s="27"/>
    </row>
    <row r="1932" spans="1:18">
      <c r="A1932" s="28"/>
      <c r="B1932" s="29"/>
      <c r="C1932" s="29"/>
      <c r="D1932" s="29"/>
      <c r="E1932" s="29"/>
      <c r="H1932" s="27"/>
      <c r="K1932"/>
      <c r="P1932" s="27"/>
      <c r="Q1932" s="27"/>
      <c r="R1932" s="27"/>
    </row>
    <row r="1933" spans="1:18">
      <c r="A1933" s="28"/>
      <c r="B1933" s="29"/>
      <c r="C1933" s="29"/>
      <c r="D1933" s="29"/>
      <c r="E1933" s="29"/>
      <c r="H1933" s="27"/>
      <c r="K1933"/>
      <c r="P1933" s="27"/>
      <c r="Q1933" s="27"/>
      <c r="R1933" s="27"/>
    </row>
    <row r="1934" spans="1:18">
      <c r="A1934" s="28"/>
      <c r="B1934" s="29"/>
      <c r="C1934" s="29"/>
      <c r="D1934" s="29"/>
      <c r="E1934" s="29"/>
      <c r="H1934" s="27"/>
      <c r="K1934"/>
      <c r="P1934" s="27"/>
      <c r="Q1934" s="27"/>
      <c r="R1934" s="27"/>
    </row>
    <row r="1935" spans="1:18">
      <c r="A1935" s="28"/>
      <c r="B1935" s="29"/>
      <c r="C1935" s="29"/>
      <c r="D1935" s="29"/>
      <c r="E1935" s="29"/>
      <c r="H1935" s="27"/>
      <c r="K1935"/>
      <c r="P1935" s="27"/>
      <c r="Q1935" s="27"/>
      <c r="R1935" s="27"/>
    </row>
    <row r="1936" spans="1:18">
      <c r="A1936" s="28"/>
      <c r="B1936" s="29"/>
      <c r="C1936" s="29"/>
      <c r="D1936" s="29"/>
      <c r="E1936" s="29"/>
      <c r="H1936" s="27"/>
      <c r="K1936"/>
      <c r="P1936" s="27"/>
      <c r="Q1936" s="27"/>
      <c r="R1936" s="27"/>
    </row>
    <row r="1937" spans="1:18">
      <c r="A1937" s="28"/>
      <c r="B1937" s="29"/>
      <c r="C1937" s="29"/>
      <c r="D1937" s="29"/>
      <c r="E1937" s="29"/>
      <c r="H1937" s="27"/>
      <c r="K1937"/>
      <c r="P1937" s="27"/>
      <c r="Q1937" s="27"/>
      <c r="R1937" s="27"/>
    </row>
    <row r="1938" spans="1:18">
      <c r="A1938" s="28"/>
      <c r="B1938" s="29"/>
      <c r="C1938" s="29"/>
      <c r="D1938" s="29"/>
      <c r="E1938" s="29"/>
      <c r="H1938" s="27"/>
      <c r="K1938"/>
      <c r="P1938" s="27"/>
      <c r="Q1938" s="27"/>
      <c r="R1938" s="27"/>
    </row>
    <row r="1939" spans="1:18">
      <c r="A1939" s="28"/>
      <c r="B1939" s="29"/>
      <c r="C1939" s="29"/>
      <c r="D1939" s="29"/>
      <c r="E1939" s="29"/>
      <c r="H1939" s="27"/>
      <c r="K1939"/>
      <c r="P1939" s="27"/>
      <c r="Q1939" s="27"/>
      <c r="R1939" s="27"/>
    </row>
    <row r="1940" spans="1:18">
      <c r="A1940" s="28"/>
      <c r="B1940" s="29"/>
      <c r="C1940" s="29"/>
      <c r="D1940" s="29"/>
      <c r="E1940" s="29"/>
      <c r="H1940" s="27"/>
      <c r="K1940"/>
      <c r="P1940" s="27"/>
      <c r="Q1940" s="27"/>
      <c r="R1940" s="27"/>
    </row>
    <row r="1941" spans="1:18">
      <c r="A1941" s="28"/>
      <c r="B1941" s="29"/>
      <c r="C1941" s="29"/>
      <c r="D1941" s="29"/>
      <c r="E1941" s="29"/>
      <c r="H1941" s="27"/>
      <c r="K1941"/>
      <c r="P1941" s="27"/>
      <c r="Q1941" s="27"/>
      <c r="R1941" s="27"/>
    </row>
    <row r="1942" spans="1:18">
      <c r="A1942" s="28"/>
      <c r="B1942" s="29"/>
      <c r="C1942" s="29"/>
      <c r="D1942" s="29"/>
      <c r="E1942" s="29"/>
      <c r="H1942" s="27"/>
      <c r="K1942"/>
      <c r="P1942" s="27"/>
      <c r="Q1942" s="27"/>
      <c r="R1942" s="27"/>
    </row>
    <row r="1943" spans="1:18">
      <c r="A1943" s="28"/>
      <c r="B1943" s="29"/>
      <c r="C1943" s="29"/>
      <c r="D1943" s="29"/>
      <c r="E1943" s="29"/>
      <c r="H1943" s="27"/>
      <c r="K1943"/>
      <c r="P1943" s="27"/>
      <c r="Q1943" s="27"/>
      <c r="R1943" s="27"/>
    </row>
    <row r="1944" spans="1:18">
      <c r="A1944" s="28"/>
      <c r="B1944" s="29"/>
      <c r="C1944" s="29"/>
      <c r="D1944" s="29"/>
      <c r="E1944" s="29"/>
      <c r="H1944" s="27"/>
      <c r="K1944"/>
      <c r="P1944" s="27"/>
      <c r="Q1944" s="27"/>
      <c r="R1944" s="27"/>
    </row>
    <row r="1945" spans="1:18">
      <c r="A1945" s="28"/>
      <c r="B1945" s="29"/>
      <c r="C1945" s="29"/>
      <c r="D1945" s="29"/>
      <c r="E1945" s="29"/>
      <c r="H1945" s="27"/>
      <c r="K1945"/>
      <c r="P1945" s="27"/>
      <c r="Q1945" s="27"/>
      <c r="R1945" s="27"/>
    </row>
    <row r="1946" spans="1:18">
      <c r="A1946" s="28"/>
      <c r="B1946" s="29"/>
      <c r="C1946" s="29"/>
      <c r="D1946" s="29"/>
      <c r="E1946" s="29"/>
      <c r="H1946" s="27"/>
      <c r="K1946"/>
      <c r="P1946" s="27"/>
      <c r="Q1946" s="27"/>
      <c r="R1946" s="27"/>
    </row>
    <row r="1947" spans="1:18">
      <c r="A1947" s="28"/>
      <c r="B1947" s="29"/>
      <c r="C1947" s="29"/>
      <c r="D1947" s="29"/>
      <c r="E1947" s="29"/>
      <c r="H1947" s="27"/>
      <c r="K1947"/>
      <c r="P1947" s="27"/>
      <c r="Q1947" s="27"/>
      <c r="R1947" s="27"/>
    </row>
    <row r="1948" spans="1:18">
      <c r="A1948" s="28"/>
      <c r="B1948" s="29"/>
      <c r="C1948" s="29"/>
      <c r="D1948" s="29"/>
      <c r="E1948" s="29"/>
      <c r="H1948" s="27"/>
      <c r="K1948"/>
      <c r="P1948" s="27"/>
      <c r="Q1948" s="27"/>
      <c r="R1948" s="27"/>
    </row>
    <row r="1949" spans="1:18">
      <c r="A1949" s="28"/>
      <c r="B1949" s="29"/>
      <c r="C1949" s="29"/>
      <c r="D1949" s="29"/>
      <c r="E1949" s="29"/>
      <c r="H1949" s="27"/>
      <c r="K1949"/>
      <c r="P1949" s="27"/>
      <c r="Q1949" s="27"/>
      <c r="R1949" s="27"/>
    </row>
    <row r="1950" spans="1:18">
      <c r="A1950" s="28"/>
      <c r="B1950" s="29"/>
      <c r="C1950" s="29"/>
      <c r="D1950" s="29"/>
      <c r="E1950" s="29"/>
      <c r="H1950" s="27"/>
      <c r="K1950"/>
      <c r="P1950" s="27"/>
      <c r="Q1950" s="27"/>
      <c r="R1950" s="27"/>
    </row>
    <row r="1951" spans="1:18">
      <c r="A1951" s="28"/>
      <c r="B1951" s="29"/>
      <c r="C1951" s="29"/>
      <c r="D1951" s="29"/>
      <c r="E1951" s="29"/>
      <c r="H1951" s="27"/>
      <c r="K1951"/>
      <c r="P1951" s="27"/>
      <c r="Q1951" s="27"/>
      <c r="R1951" s="27"/>
    </row>
    <row r="1952" spans="1:18">
      <c r="A1952" s="28"/>
      <c r="B1952" s="29"/>
      <c r="C1952" s="29"/>
      <c r="D1952" s="29"/>
      <c r="E1952" s="29"/>
      <c r="H1952" s="27"/>
      <c r="K1952"/>
      <c r="P1952" s="27"/>
      <c r="Q1952" s="27"/>
      <c r="R1952" s="27"/>
    </row>
    <row r="1953" spans="1:18">
      <c r="A1953" s="28"/>
      <c r="B1953" s="29"/>
      <c r="C1953" s="29"/>
      <c r="D1953" s="29"/>
      <c r="E1953" s="29"/>
      <c r="H1953" s="27"/>
      <c r="K1953"/>
      <c r="P1953" s="27"/>
      <c r="Q1953" s="27"/>
      <c r="R1953" s="27"/>
    </row>
    <row r="1954" spans="1:18">
      <c r="A1954" s="28"/>
      <c r="B1954" s="29"/>
      <c r="C1954" s="29"/>
      <c r="D1954" s="29"/>
      <c r="E1954" s="29"/>
      <c r="H1954" s="27"/>
      <c r="K1954"/>
      <c r="P1954" s="27"/>
      <c r="Q1954" s="27"/>
      <c r="R1954" s="27"/>
    </row>
    <row r="1955" spans="1:18">
      <c r="A1955" s="28"/>
      <c r="B1955" s="29"/>
      <c r="C1955" s="29"/>
      <c r="D1955" s="29"/>
      <c r="E1955" s="29"/>
      <c r="H1955" s="27"/>
      <c r="K1955"/>
      <c r="P1955" s="27"/>
      <c r="Q1955" s="27"/>
      <c r="R1955" s="27"/>
    </row>
    <row r="1956" spans="1:18">
      <c r="A1956" s="28"/>
      <c r="B1956" s="29"/>
      <c r="C1956" s="29"/>
      <c r="D1956" s="29"/>
      <c r="E1956" s="29"/>
      <c r="H1956" s="27"/>
      <c r="K1956"/>
      <c r="P1956" s="27"/>
      <c r="Q1956" s="27"/>
      <c r="R1956" s="27"/>
    </row>
    <row r="1957" spans="1:18">
      <c r="A1957" s="28"/>
      <c r="B1957" s="29"/>
      <c r="C1957" s="29"/>
      <c r="D1957" s="29"/>
      <c r="E1957" s="29"/>
      <c r="H1957" s="27"/>
      <c r="K1957"/>
      <c r="P1957" s="27"/>
      <c r="Q1957" s="27"/>
      <c r="R1957" s="27"/>
    </row>
    <row r="1958" spans="1:18">
      <c r="A1958" s="28"/>
      <c r="B1958" s="29"/>
      <c r="C1958" s="29"/>
      <c r="D1958" s="29"/>
      <c r="E1958" s="29"/>
      <c r="H1958" s="27"/>
      <c r="K1958"/>
      <c r="P1958" s="27"/>
      <c r="Q1958" s="27"/>
      <c r="R1958" s="27"/>
    </row>
    <row r="1959" spans="1:18">
      <c r="A1959" s="28"/>
      <c r="B1959" s="29"/>
      <c r="C1959" s="29"/>
      <c r="D1959" s="29"/>
      <c r="E1959" s="29"/>
      <c r="H1959" s="27"/>
      <c r="K1959"/>
      <c r="P1959" s="27"/>
      <c r="Q1959" s="27"/>
      <c r="R1959" s="27"/>
    </row>
    <row r="1960" spans="1:18">
      <c r="A1960" s="28"/>
      <c r="B1960" s="29"/>
      <c r="C1960" s="29"/>
      <c r="D1960" s="29"/>
      <c r="E1960" s="29"/>
      <c r="H1960" s="27"/>
      <c r="K1960"/>
      <c r="P1960" s="27"/>
      <c r="Q1960" s="27"/>
      <c r="R1960" s="27"/>
    </row>
    <row r="1961" spans="1:18">
      <c r="A1961" s="28"/>
      <c r="B1961" s="29"/>
      <c r="C1961" s="29"/>
      <c r="D1961" s="29"/>
      <c r="E1961" s="29"/>
      <c r="H1961" s="27"/>
      <c r="K1961"/>
      <c r="P1961" s="27"/>
      <c r="Q1961" s="27"/>
      <c r="R1961" s="27"/>
    </row>
    <row r="1962" spans="1:18">
      <c r="A1962" s="28"/>
      <c r="B1962" s="29"/>
      <c r="C1962" s="29"/>
      <c r="D1962" s="29"/>
      <c r="E1962" s="29"/>
      <c r="H1962" s="27"/>
      <c r="K1962"/>
      <c r="P1962" s="27"/>
      <c r="Q1962" s="27"/>
      <c r="R1962" s="27"/>
    </row>
    <row r="1963" spans="1:18">
      <c r="A1963" s="28"/>
      <c r="B1963" s="29"/>
      <c r="C1963" s="29"/>
      <c r="D1963" s="29"/>
      <c r="E1963" s="29"/>
      <c r="H1963" s="27"/>
      <c r="K1963"/>
      <c r="P1963" s="27"/>
      <c r="Q1963" s="27"/>
      <c r="R1963" s="27"/>
    </row>
    <row r="1964" spans="1:18">
      <c r="A1964" s="28"/>
      <c r="B1964" s="29"/>
      <c r="C1964" s="29"/>
      <c r="D1964" s="29"/>
      <c r="E1964" s="29"/>
      <c r="H1964" s="27"/>
      <c r="K1964"/>
      <c r="P1964" s="27"/>
      <c r="Q1964" s="27"/>
      <c r="R1964" s="27"/>
    </row>
    <row r="1965" spans="1:18">
      <c r="A1965" s="28"/>
      <c r="B1965" s="29"/>
      <c r="C1965" s="29"/>
      <c r="D1965" s="29"/>
      <c r="E1965" s="29"/>
      <c r="H1965" s="27"/>
      <c r="K1965"/>
      <c r="P1965" s="27"/>
      <c r="Q1965" s="27"/>
      <c r="R1965" s="27"/>
    </row>
    <row r="1966" spans="1:18">
      <c r="A1966" s="28"/>
      <c r="B1966" s="29"/>
      <c r="C1966" s="29"/>
      <c r="D1966" s="29"/>
      <c r="E1966" s="29"/>
      <c r="H1966" s="27"/>
      <c r="K1966"/>
      <c r="P1966" s="27"/>
      <c r="Q1966" s="27"/>
      <c r="R1966" s="27"/>
    </row>
    <row r="1967" spans="1:18">
      <c r="A1967" s="28"/>
      <c r="B1967" s="29"/>
      <c r="C1967" s="29"/>
      <c r="D1967" s="29"/>
      <c r="E1967" s="29"/>
      <c r="H1967" s="27"/>
      <c r="K1967"/>
      <c r="P1967" s="27"/>
      <c r="Q1967" s="27"/>
      <c r="R1967" s="27"/>
    </row>
    <row r="1968" spans="1:18">
      <c r="A1968" s="28"/>
      <c r="B1968" s="29"/>
      <c r="C1968" s="29"/>
      <c r="D1968" s="29"/>
      <c r="E1968" s="29"/>
      <c r="H1968" s="27"/>
      <c r="K1968"/>
      <c r="P1968" s="27"/>
      <c r="Q1968" s="27"/>
      <c r="R1968" s="27"/>
    </row>
    <row r="1969" spans="1:18">
      <c r="A1969" s="28"/>
      <c r="B1969" s="29"/>
      <c r="C1969" s="29"/>
      <c r="D1969" s="29"/>
      <c r="E1969" s="29"/>
      <c r="H1969" s="27"/>
      <c r="K1969"/>
      <c r="P1969" s="27"/>
      <c r="Q1969" s="27"/>
      <c r="R1969" s="27"/>
    </row>
    <row r="1970" spans="1:18">
      <c r="A1970" s="28"/>
      <c r="B1970" s="29"/>
      <c r="C1970" s="29"/>
      <c r="D1970" s="29"/>
      <c r="E1970" s="29"/>
      <c r="H1970" s="27"/>
      <c r="K1970"/>
      <c r="P1970" s="27"/>
      <c r="Q1970" s="27"/>
      <c r="R1970" s="27"/>
    </row>
    <row r="1971" spans="1:18">
      <c r="A1971" s="28"/>
      <c r="B1971" s="29"/>
      <c r="C1971" s="29"/>
      <c r="D1971" s="29"/>
      <c r="E1971" s="29"/>
      <c r="H1971" s="27"/>
      <c r="K1971"/>
      <c r="P1971" s="27"/>
      <c r="Q1971" s="27"/>
      <c r="R1971" s="27"/>
    </row>
    <row r="1972" spans="1:18">
      <c r="A1972" s="28"/>
      <c r="B1972" s="29"/>
      <c r="C1972" s="29"/>
      <c r="D1972" s="29"/>
      <c r="E1972" s="29"/>
      <c r="H1972" s="27"/>
      <c r="K1972"/>
      <c r="P1972" s="27"/>
      <c r="Q1972" s="27"/>
      <c r="R1972" s="27"/>
    </row>
    <row r="1973" spans="1:18">
      <c r="A1973" s="28"/>
      <c r="B1973" s="29"/>
      <c r="C1973" s="29"/>
      <c r="D1973" s="29"/>
      <c r="E1973" s="29"/>
      <c r="H1973" s="27"/>
      <c r="K1973"/>
      <c r="P1973" s="27"/>
      <c r="Q1973" s="27"/>
      <c r="R1973" s="27"/>
    </row>
    <row r="1974" spans="1:18">
      <c r="A1974" s="28"/>
      <c r="B1974" s="29"/>
      <c r="C1974" s="29"/>
      <c r="D1974" s="29"/>
      <c r="E1974" s="29"/>
      <c r="H1974" s="27"/>
      <c r="K1974"/>
      <c r="P1974" s="27"/>
      <c r="Q1974" s="27"/>
      <c r="R1974" s="27"/>
    </row>
    <row r="1975" spans="1:18">
      <c r="A1975" s="28"/>
      <c r="B1975" s="29"/>
      <c r="C1975" s="29"/>
      <c r="D1975" s="29"/>
      <c r="E1975" s="29"/>
      <c r="H1975" s="27"/>
      <c r="K1975"/>
      <c r="P1975" s="27"/>
      <c r="Q1975" s="27"/>
      <c r="R1975" s="27"/>
    </row>
    <row r="1976" spans="1:18">
      <c r="A1976" s="28"/>
      <c r="B1976" s="29"/>
      <c r="C1976" s="29"/>
      <c r="D1976" s="29"/>
      <c r="E1976" s="29"/>
      <c r="H1976" s="27"/>
      <c r="K1976"/>
      <c r="P1976" s="27"/>
      <c r="Q1976" s="27"/>
      <c r="R1976" s="27"/>
    </row>
    <row r="1977" spans="1:18">
      <c r="A1977" s="28"/>
      <c r="B1977" s="29"/>
      <c r="C1977" s="29"/>
      <c r="D1977" s="29"/>
      <c r="E1977" s="29"/>
      <c r="H1977" s="27"/>
      <c r="K1977"/>
      <c r="P1977" s="27"/>
      <c r="Q1977" s="27"/>
      <c r="R1977" s="27"/>
    </row>
    <row r="1978" spans="1:18">
      <c r="A1978" s="28"/>
      <c r="B1978" s="29"/>
      <c r="C1978" s="29"/>
      <c r="D1978" s="29"/>
      <c r="E1978" s="29"/>
      <c r="H1978" s="27"/>
      <c r="K1978"/>
      <c r="P1978" s="27"/>
      <c r="Q1978" s="27"/>
      <c r="R1978" s="27"/>
    </row>
    <row r="1979" spans="1:18">
      <c r="A1979" s="28"/>
      <c r="B1979" s="29"/>
      <c r="C1979" s="29"/>
      <c r="D1979" s="29"/>
      <c r="E1979" s="29"/>
      <c r="H1979" s="27"/>
      <c r="K1979"/>
      <c r="P1979" s="27"/>
      <c r="Q1979" s="27"/>
      <c r="R1979" s="27"/>
    </row>
    <row r="1980" spans="1:18">
      <c r="A1980" s="28"/>
      <c r="B1980" s="29"/>
      <c r="C1980" s="29"/>
      <c r="D1980" s="29"/>
      <c r="E1980" s="29"/>
      <c r="H1980" s="27"/>
      <c r="K1980"/>
      <c r="P1980" s="27"/>
      <c r="Q1980" s="27"/>
      <c r="R1980" s="27"/>
    </row>
    <row r="1981" spans="1:18">
      <c r="A1981" s="28"/>
      <c r="B1981" s="29"/>
      <c r="C1981" s="29"/>
      <c r="D1981" s="29"/>
      <c r="E1981" s="29"/>
      <c r="H1981" s="27"/>
      <c r="K1981"/>
      <c r="P1981" s="27"/>
      <c r="Q1981" s="27"/>
      <c r="R1981" s="27"/>
    </row>
    <row r="1982" spans="1:18">
      <c r="A1982" s="28"/>
      <c r="B1982" s="29"/>
      <c r="C1982" s="29"/>
      <c r="D1982" s="29"/>
      <c r="E1982" s="29"/>
      <c r="H1982" s="27"/>
      <c r="K1982"/>
      <c r="P1982" s="27"/>
      <c r="Q1982" s="27"/>
      <c r="R1982" s="27"/>
    </row>
    <row r="1983" spans="1:18">
      <c r="A1983" s="28"/>
      <c r="B1983" s="29"/>
      <c r="C1983" s="29"/>
      <c r="D1983" s="29"/>
      <c r="E1983" s="29"/>
      <c r="H1983" s="27"/>
      <c r="K1983"/>
      <c r="P1983" s="27"/>
      <c r="Q1983" s="27"/>
      <c r="R1983" s="27"/>
    </row>
    <row r="1984" spans="1:18">
      <c r="A1984" s="28"/>
      <c r="B1984" s="29"/>
      <c r="C1984" s="29"/>
      <c r="D1984" s="29"/>
      <c r="E1984" s="29"/>
      <c r="H1984" s="27"/>
      <c r="K1984"/>
      <c r="P1984" s="27"/>
      <c r="Q1984" s="27"/>
      <c r="R1984" s="27"/>
    </row>
    <row r="1985" spans="1:18">
      <c r="A1985" s="28"/>
      <c r="B1985" s="29"/>
      <c r="C1985" s="29"/>
      <c r="D1985" s="29"/>
      <c r="E1985" s="29"/>
      <c r="H1985" s="27"/>
      <c r="K1985"/>
      <c r="P1985" s="27"/>
      <c r="Q1985" s="27"/>
      <c r="R1985" s="27"/>
    </row>
    <row r="1986" spans="1:18">
      <c r="A1986" s="28"/>
      <c r="B1986" s="29"/>
      <c r="C1986" s="29"/>
      <c r="D1986" s="29"/>
      <c r="E1986" s="29"/>
      <c r="H1986" s="27"/>
      <c r="K1986"/>
      <c r="P1986" s="27"/>
      <c r="Q1986" s="27"/>
      <c r="R1986" s="27"/>
    </row>
    <row r="1987" spans="1:18">
      <c r="A1987" s="28"/>
      <c r="B1987" s="29"/>
      <c r="C1987" s="29"/>
      <c r="D1987" s="29"/>
      <c r="E1987" s="29"/>
      <c r="H1987" s="27"/>
      <c r="K1987"/>
      <c r="P1987" s="27"/>
      <c r="Q1987" s="27"/>
      <c r="R1987" s="27"/>
    </row>
    <row r="1988" spans="1:18">
      <c r="A1988" s="28"/>
      <c r="B1988" s="29"/>
      <c r="C1988" s="29"/>
      <c r="D1988" s="29"/>
      <c r="E1988" s="29"/>
      <c r="H1988" s="27"/>
      <c r="K1988"/>
      <c r="P1988" s="27"/>
      <c r="Q1988" s="27"/>
      <c r="R1988" s="27"/>
    </row>
    <row r="1989" spans="1:18">
      <c r="A1989" s="28"/>
      <c r="B1989" s="29"/>
      <c r="C1989" s="29"/>
      <c r="D1989" s="29"/>
      <c r="E1989" s="29"/>
      <c r="H1989" s="27"/>
      <c r="K1989"/>
      <c r="P1989" s="27"/>
      <c r="Q1989" s="27"/>
      <c r="R1989" s="27"/>
    </row>
    <row r="1990" spans="1:18">
      <c r="A1990" s="28"/>
      <c r="B1990" s="29"/>
      <c r="C1990" s="29"/>
      <c r="D1990" s="29"/>
      <c r="E1990" s="29"/>
      <c r="H1990" s="27"/>
      <c r="K1990"/>
      <c r="P1990" s="27"/>
      <c r="Q1990" s="27"/>
      <c r="R1990" s="27"/>
    </row>
    <row r="1991" spans="1:18">
      <c r="A1991" s="28"/>
      <c r="B1991" s="29"/>
      <c r="C1991" s="29"/>
      <c r="D1991" s="29"/>
      <c r="E1991" s="29"/>
      <c r="H1991" s="27"/>
      <c r="K1991"/>
      <c r="P1991" s="27"/>
      <c r="Q1991" s="27"/>
      <c r="R1991" s="27"/>
    </row>
    <row r="1992" spans="1:18">
      <c r="A1992" s="28"/>
      <c r="B1992" s="29"/>
      <c r="C1992" s="29"/>
      <c r="D1992" s="29"/>
      <c r="E1992" s="29"/>
      <c r="H1992" s="27"/>
      <c r="K1992"/>
      <c r="P1992" s="27"/>
      <c r="Q1992" s="27"/>
      <c r="R1992" s="27"/>
    </row>
    <row r="1993" spans="1:18">
      <c r="A1993" s="28"/>
      <c r="B1993" s="29"/>
      <c r="C1993" s="29"/>
      <c r="D1993" s="29"/>
      <c r="E1993" s="29"/>
      <c r="H1993" s="27"/>
      <c r="K1993"/>
      <c r="P1993" s="27"/>
      <c r="Q1993" s="27"/>
      <c r="R1993" s="27"/>
    </row>
    <row r="1994" spans="1:18">
      <c r="A1994" s="28"/>
      <c r="B1994" s="29"/>
      <c r="C1994" s="29"/>
      <c r="D1994" s="29"/>
      <c r="E1994" s="29"/>
      <c r="H1994" s="27"/>
      <c r="K1994"/>
      <c r="P1994" s="27"/>
      <c r="Q1994" s="27"/>
      <c r="R1994" s="27"/>
    </row>
    <row r="1995" spans="1:18">
      <c r="A1995" s="28"/>
      <c r="B1995" s="29"/>
      <c r="C1995" s="29"/>
      <c r="D1995" s="29"/>
      <c r="E1995" s="29"/>
      <c r="H1995" s="27"/>
      <c r="K1995"/>
      <c r="P1995" s="27"/>
      <c r="Q1995" s="27"/>
      <c r="R1995" s="27"/>
    </row>
    <row r="1996" spans="1:18">
      <c r="A1996" s="28"/>
      <c r="B1996" s="29"/>
      <c r="C1996" s="29"/>
      <c r="D1996" s="29"/>
      <c r="E1996" s="29"/>
      <c r="H1996" s="27"/>
      <c r="K1996"/>
      <c r="P1996" s="27"/>
      <c r="Q1996" s="27"/>
      <c r="R1996" s="27"/>
    </row>
    <row r="1997" spans="1:18">
      <c r="A1997" s="28"/>
      <c r="B1997" s="29"/>
      <c r="C1997" s="29"/>
      <c r="D1997" s="29"/>
      <c r="E1997" s="29"/>
      <c r="H1997" s="27"/>
      <c r="K1997"/>
      <c r="P1997" s="27"/>
      <c r="Q1997" s="27"/>
      <c r="R1997" s="27"/>
    </row>
    <row r="1998" spans="1:18">
      <c r="A1998" s="28"/>
      <c r="B1998" s="29"/>
      <c r="C1998" s="29"/>
      <c r="D1998" s="29"/>
      <c r="E1998" s="29"/>
      <c r="H1998" s="27"/>
      <c r="K1998"/>
      <c r="P1998" s="27"/>
      <c r="Q1998" s="27"/>
      <c r="R1998" s="27"/>
    </row>
    <row r="1999" spans="1:18">
      <c r="A1999" s="28"/>
      <c r="B1999" s="29"/>
      <c r="C1999" s="29"/>
      <c r="D1999" s="29"/>
      <c r="E1999" s="29"/>
      <c r="H1999" s="27"/>
      <c r="K1999"/>
      <c r="P1999" s="27"/>
      <c r="Q1999" s="27"/>
      <c r="R1999" s="27"/>
    </row>
    <row r="2000" spans="1:18">
      <c r="A2000" s="28"/>
      <c r="B2000" s="29"/>
      <c r="C2000" s="29"/>
      <c r="D2000" s="29"/>
      <c r="E2000" s="29"/>
      <c r="H2000" s="27"/>
      <c r="K2000"/>
      <c r="P2000" s="27"/>
      <c r="Q2000" s="27"/>
      <c r="R2000" s="27"/>
    </row>
    <row r="2001" spans="1:18">
      <c r="A2001" s="28"/>
      <c r="B2001" s="29"/>
      <c r="C2001" s="29"/>
      <c r="D2001" s="29"/>
      <c r="E2001" s="29"/>
      <c r="H2001" s="27"/>
      <c r="K2001"/>
      <c r="P2001" s="27"/>
      <c r="Q2001" s="27"/>
      <c r="R2001" s="27"/>
    </row>
    <row r="2002" spans="1:18">
      <c r="A2002" s="28"/>
      <c r="B2002" s="29"/>
      <c r="C2002" s="29"/>
      <c r="D2002" s="29"/>
      <c r="E2002" s="29"/>
      <c r="H2002" s="27"/>
      <c r="K2002"/>
      <c r="P2002" s="27"/>
      <c r="Q2002" s="27"/>
      <c r="R2002" s="27"/>
    </row>
    <row r="2003" spans="1:18">
      <c r="A2003" s="28"/>
      <c r="B2003" s="29"/>
      <c r="C2003" s="29"/>
      <c r="D2003" s="29"/>
      <c r="E2003" s="29"/>
      <c r="H2003" s="27"/>
      <c r="K2003"/>
      <c r="P2003" s="27"/>
      <c r="Q2003" s="27"/>
      <c r="R2003" s="27"/>
    </row>
    <row r="2004" spans="1:18">
      <c r="A2004" s="28"/>
      <c r="B2004" s="29"/>
      <c r="C2004" s="29"/>
      <c r="D2004" s="29"/>
      <c r="E2004" s="29"/>
      <c r="H2004" s="27"/>
      <c r="K2004"/>
      <c r="P2004" s="27"/>
      <c r="Q2004" s="27"/>
      <c r="R2004" s="27"/>
    </row>
    <row r="2005" spans="1:18">
      <c r="A2005" s="28"/>
      <c r="B2005" s="29"/>
      <c r="C2005" s="29"/>
      <c r="D2005" s="29"/>
      <c r="E2005" s="29"/>
      <c r="H2005" s="27"/>
      <c r="K2005"/>
      <c r="P2005" s="27"/>
      <c r="Q2005" s="27"/>
      <c r="R2005" s="27"/>
    </row>
    <row r="2006" spans="1:18">
      <c r="A2006" s="28"/>
      <c r="B2006" s="29"/>
      <c r="C2006" s="29"/>
      <c r="D2006" s="29"/>
      <c r="E2006" s="29"/>
      <c r="H2006" s="27"/>
      <c r="K2006"/>
      <c r="P2006" s="27"/>
      <c r="Q2006" s="27"/>
      <c r="R2006" s="27"/>
    </row>
    <row r="2007" spans="1:18">
      <c r="A2007" s="28"/>
      <c r="B2007" s="29"/>
      <c r="C2007" s="29"/>
      <c r="D2007" s="29"/>
      <c r="E2007" s="29"/>
      <c r="H2007" s="27"/>
      <c r="K2007"/>
      <c r="P2007" s="27"/>
      <c r="Q2007" s="27"/>
      <c r="R2007" s="27"/>
    </row>
    <row r="2008" spans="1:18">
      <c r="A2008" s="28"/>
      <c r="B2008" s="29"/>
      <c r="C2008" s="29"/>
      <c r="D2008" s="29"/>
      <c r="E2008" s="29"/>
      <c r="H2008" s="27"/>
      <c r="K2008"/>
      <c r="P2008" s="27"/>
      <c r="Q2008" s="27"/>
      <c r="R2008" s="27"/>
    </row>
    <row r="2009" spans="1:18">
      <c r="A2009" s="28"/>
      <c r="B2009" s="29"/>
      <c r="C2009" s="29"/>
      <c r="D2009" s="29"/>
      <c r="E2009" s="29"/>
      <c r="H2009" s="27"/>
      <c r="K2009"/>
      <c r="P2009" s="27"/>
      <c r="Q2009" s="27"/>
      <c r="R2009" s="27"/>
    </row>
    <row r="2010" spans="1:18">
      <c r="A2010" s="28"/>
      <c r="B2010" s="29"/>
      <c r="C2010" s="29"/>
      <c r="D2010" s="29"/>
      <c r="E2010" s="29"/>
      <c r="H2010" s="27"/>
      <c r="K2010"/>
      <c r="P2010" s="27"/>
      <c r="Q2010" s="27"/>
      <c r="R2010" s="27"/>
    </row>
    <row r="2011" spans="1:18">
      <c r="A2011" s="28"/>
      <c r="B2011" s="29"/>
      <c r="C2011" s="29"/>
      <c r="D2011" s="29"/>
      <c r="E2011" s="29"/>
      <c r="H2011" s="27"/>
      <c r="K2011"/>
      <c r="P2011" s="27"/>
      <c r="Q2011" s="27"/>
      <c r="R2011" s="27"/>
    </row>
    <row r="2012" spans="1:18">
      <c r="A2012" s="28"/>
      <c r="B2012" s="29"/>
      <c r="C2012" s="29"/>
      <c r="D2012" s="29"/>
      <c r="E2012" s="29"/>
      <c r="H2012" s="27"/>
      <c r="K2012"/>
      <c r="P2012" s="27"/>
      <c r="Q2012" s="27"/>
      <c r="R2012" s="27"/>
    </row>
    <row r="2013" spans="1:18">
      <c r="A2013" s="28"/>
      <c r="B2013" s="29"/>
      <c r="C2013" s="29"/>
      <c r="D2013" s="29"/>
      <c r="E2013" s="29"/>
      <c r="H2013" s="27"/>
      <c r="K2013"/>
      <c r="P2013" s="27"/>
      <c r="Q2013" s="27"/>
      <c r="R2013" s="27"/>
    </row>
    <row r="2014" spans="1:18">
      <c r="A2014" s="28"/>
      <c r="B2014" s="29"/>
      <c r="C2014" s="29"/>
      <c r="D2014" s="29"/>
      <c r="E2014" s="29"/>
      <c r="H2014" s="27"/>
      <c r="K2014"/>
      <c r="P2014" s="27"/>
      <c r="Q2014" s="27"/>
      <c r="R2014" s="27"/>
    </row>
    <row r="2015" spans="1:18">
      <c r="A2015" s="28"/>
      <c r="B2015" s="29"/>
      <c r="C2015" s="29"/>
      <c r="D2015" s="29"/>
      <c r="E2015" s="29"/>
      <c r="H2015" s="27"/>
      <c r="K2015"/>
      <c r="P2015" s="27"/>
      <c r="Q2015" s="27"/>
      <c r="R2015" s="27"/>
    </row>
    <row r="2016" spans="1:18">
      <c r="A2016" s="28"/>
      <c r="B2016" s="29"/>
      <c r="C2016" s="29"/>
      <c r="D2016" s="29"/>
      <c r="E2016" s="29"/>
      <c r="H2016" s="27"/>
      <c r="K2016"/>
      <c r="P2016" s="27"/>
      <c r="Q2016" s="27"/>
      <c r="R2016" s="27"/>
    </row>
    <row r="2017" spans="1:18">
      <c r="A2017" s="28"/>
      <c r="B2017" s="29"/>
      <c r="C2017" s="29"/>
      <c r="D2017" s="29"/>
      <c r="E2017" s="29"/>
      <c r="H2017" s="27"/>
      <c r="K2017"/>
      <c r="P2017" s="27"/>
      <c r="Q2017" s="27"/>
      <c r="R2017" s="27"/>
    </row>
    <row r="2018" spans="1:18">
      <c r="A2018" s="28"/>
      <c r="B2018" s="29"/>
      <c r="C2018" s="29"/>
      <c r="D2018" s="29"/>
      <c r="E2018" s="29"/>
      <c r="H2018" s="27"/>
      <c r="K2018"/>
      <c r="P2018" s="27"/>
      <c r="Q2018" s="27"/>
      <c r="R2018" s="27"/>
    </row>
    <row r="2019" spans="1:18">
      <c r="A2019" s="28"/>
      <c r="B2019" s="29"/>
      <c r="C2019" s="29"/>
      <c r="D2019" s="29"/>
      <c r="E2019" s="29"/>
      <c r="H2019" s="27"/>
      <c r="K2019"/>
      <c r="P2019" s="27"/>
      <c r="Q2019" s="27"/>
      <c r="R2019" s="27"/>
    </row>
    <row r="2020" spans="1:18">
      <c r="A2020" s="28"/>
      <c r="B2020" s="29"/>
      <c r="C2020" s="29"/>
      <c r="D2020" s="29"/>
      <c r="E2020" s="29"/>
      <c r="H2020" s="27"/>
      <c r="K2020"/>
      <c r="P2020" s="27"/>
      <c r="Q2020" s="27"/>
      <c r="R2020" s="27"/>
    </row>
    <row r="2021" spans="1:18">
      <c r="A2021" s="28"/>
      <c r="B2021" s="29"/>
      <c r="C2021" s="29"/>
      <c r="D2021" s="29"/>
      <c r="E2021" s="29"/>
      <c r="H2021" s="27"/>
      <c r="K2021"/>
      <c r="P2021" s="27"/>
      <c r="Q2021" s="27"/>
      <c r="R2021" s="27"/>
    </row>
    <row r="2022" spans="1:18">
      <c r="A2022" s="28"/>
      <c r="B2022" s="29"/>
      <c r="C2022" s="29"/>
      <c r="D2022" s="29"/>
      <c r="E2022" s="29"/>
      <c r="H2022" s="27"/>
      <c r="K2022"/>
      <c r="P2022" s="27"/>
      <c r="Q2022" s="27"/>
      <c r="R2022" s="27"/>
    </row>
    <row r="2023" spans="1:18">
      <c r="A2023" s="28"/>
      <c r="B2023" s="29"/>
      <c r="C2023" s="29"/>
      <c r="D2023" s="29"/>
      <c r="E2023" s="29"/>
      <c r="H2023" s="27"/>
      <c r="K2023"/>
      <c r="P2023" s="27"/>
      <c r="Q2023" s="27"/>
      <c r="R2023" s="27"/>
    </row>
    <row r="2024" spans="1:18">
      <c r="A2024" s="28"/>
      <c r="B2024" s="29"/>
      <c r="C2024" s="29"/>
      <c r="D2024" s="29"/>
      <c r="E2024" s="29"/>
      <c r="H2024" s="27"/>
      <c r="K2024"/>
      <c r="P2024" s="27"/>
      <c r="Q2024" s="27"/>
      <c r="R2024" s="27"/>
    </row>
    <row r="2025" spans="1:18">
      <c r="A2025" s="28"/>
      <c r="B2025" s="29"/>
      <c r="C2025" s="29"/>
      <c r="D2025" s="29"/>
      <c r="E2025" s="29"/>
      <c r="H2025" s="27"/>
      <c r="K2025"/>
      <c r="P2025" s="27"/>
      <c r="Q2025" s="27"/>
      <c r="R2025" s="27"/>
    </row>
    <row r="2026" spans="1:18">
      <c r="A2026" s="28"/>
      <c r="B2026" s="29"/>
      <c r="C2026" s="29"/>
      <c r="D2026" s="29"/>
      <c r="E2026" s="29"/>
      <c r="H2026" s="27"/>
      <c r="K2026"/>
      <c r="P2026" s="27"/>
      <c r="Q2026" s="27"/>
      <c r="R2026" s="27"/>
    </row>
    <row r="2027" spans="1:18">
      <c r="A2027" s="28"/>
      <c r="B2027" s="29"/>
      <c r="C2027" s="29"/>
      <c r="D2027" s="29"/>
      <c r="E2027" s="29"/>
      <c r="H2027" s="27"/>
      <c r="K2027"/>
      <c r="P2027" s="27"/>
      <c r="Q2027" s="27"/>
      <c r="R2027" s="27"/>
    </row>
    <row r="2028" spans="1:18">
      <c r="A2028" s="28"/>
      <c r="B2028" s="29"/>
      <c r="C2028" s="29"/>
      <c r="D2028" s="29"/>
      <c r="E2028" s="29"/>
      <c r="H2028" s="27"/>
      <c r="K2028"/>
      <c r="P2028" s="27"/>
      <c r="Q2028" s="27"/>
      <c r="R2028" s="27"/>
    </row>
    <row r="2029" spans="1:18">
      <c r="A2029" s="28"/>
      <c r="B2029" s="29"/>
      <c r="C2029" s="29"/>
      <c r="D2029" s="29"/>
      <c r="E2029" s="29"/>
      <c r="H2029" s="27"/>
      <c r="K2029"/>
      <c r="P2029" s="27"/>
      <c r="Q2029" s="27"/>
      <c r="R2029" s="27"/>
    </row>
    <row r="2030" spans="1:18">
      <c r="A2030" s="28"/>
      <c r="B2030" s="29"/>
      <c r="C2030" s="29"/>
      <c r="D2030" s="29"/>
      <c r="E2030" s="29"/>
      <c r="H2030" s="27"/>
      <c r="K2030"/>
      <c r="P2030" s="27"/>
      <c r="Q2030" s="27"/>
      <c r="R2030" s="27"/>
    </row>
    <row r="2031" spans="1:18">
      <c r="A2031" s="28"/>
      <c r="B2031" s="29"/>
      <c r="C2031" s="29"/>
      <c r="D2031" s="29"/>
      <c r="E2031" s="29"/>
      <c r="H2031" s="27"/>
      <c r="K2031"/>
      <c r="P2031" s="27"/>
      <c r="Q2031" s="27"/>
      <c r="R2031" s="27"/>
    </row>
    <row r="2032" spans="1:18">
      <c r="A2032" s="28"/>
      <c r="B2032" s="29"/>
      <c r="C2032" s="29"/>
      <c r="D2032" s="29"/>
      <c r="E2032" s="29"/>
      <c r="H2032" s="27"/>
      <c r="K2032"/>
      <c r="P2032" s="27"/>
      <c r="Q2032" s="27"/>
      <c r="R2032" s="27"/>
    </row>
    <row r="2033" spans="1:18">
      <c r="A2033" s="28"/>
      <c r="B2033" s="29"/>
      <c r="C2033" s="29"/>
      <c r="D2033" s="29"/>
      <c r="E2033" s="29"/>
      <c r="H2033" s="27"/>
      <c r="K2033"/>
      <c r="P2033" s="27"/>
      <c r="Q2033" s="27"/>
      <c r="R2033" s="27"/>
    </row>
    <row r="2034" spans="1:18">
      <c r="A2034" s="28"/>
      <c r="B2034" s="29"/>
      <c r="C2034" s="29"/>
      <c r="D2034" s="29"/>
      <c r="E2034" s="29"/>
      <c r="H2034" s="27"/>
      <c r="K2034"/>
      <c r="P2034" s="27"/>
      <c r="Q2034" s="27"/>
      <c r="R2034" s="27"/>
    </row>
    <row r="2035" spans="1:18">
      <c r="A2035" s="28"/>
      <c r="B2035" s="29"/>
      <c r="C2035" s="29"/>
      <c r="D2035" s="29"/>
      <c r="E2035" s="29"/>
      <c r="H2035" s="27"/>
      <c r="K2035"/>
      <c r="P2035" s="27"/>
      <c r="Q2035" s="27"/>
      <c r="R2035" s="27"/>
    </row>
    <row r="2036" spans="1:18">
      <c r="A2036" s="28"/>
      <c r="B2036" s="29"/>
      <c r="C2036" s="29"/>
      <c r="D2036" s="29"/>
      <c r="E2036" s="29"/>
      <c r="H2036" s="27"/>
      <c r="K2036"/>
      <c r="P2036" s="27"/>
      <c r="Q2036" s="27"/>
      <c r="R2036" s="27"/>
    </row>
    <row r="2037" spans="1:18">
      <c r="A2037" s="28"/>
      <c r="B2037" s="29"/>
      <c r="C2037" s="29"/>
      <c r="D2037" s="29"/>
      <c r="E2037" s="29"/>
      <c r="H2037" s="27"/>
      <c r="K2037"/>
      <c r="P2037" s="27"/>
      <c r="Q2037" s="27"/>
      <c r="R2037" s="27"/>
    </row>
    <row r="2038" spans="1:18">
      <c r="A2038" s="28"/>
      <c r="B2038" s="29"/>
      <c r="C2038" s="29"/>
      <c r="D2038" s="29"/>
      <c r="E2038" s="29"/>
      <c r="H2038" s="27"/>
      <c r="K2038"/>
      <c r="P2038" s="27"/>
      <c r="Q2038" s="27"/>
      <c r="R2038" s="27"/>
    </row>
    <row r="2039" spans="1:18">
      <c r="A2039" s="28"/>
      <c r="B2039" s="29"/>
      <c r="C2039" s="29"/>
      <c r="D2039" s="29"/>
      <c r="E2039" s="29"/>
      <c r="H2039" s="27"/>
      <c r="K2039"/>
      <c r="P2039" s="27"/>
      <c r="Q2039" s="27"/>
      <c r="R2039" s="27"/>
    </row>
    <row r="2040" spans="1:18">
      <c r="A2040" s="28"/>
      <c r="B2040" s="29"/>
      <c r="C2040" s="29"/>
      <c r="D2040" s="29"/>
      <c r="E2040" s="29"/>
      <c r="H2040" s="27"/>
      <c r="K2040"/>
      <c r="P2040" s="27"/>
      <c r="Q2040" s="27"/>
      <c r="R2040" s="27"/>
    </row>
    <row r="2041" spans="1:18">
      <c r="A2041" s="28"/>
      <c r="B2041" s="29"/>
      <c r="C2041" s="29"/>
      <c r="D2041" s="29"/>
      <c r="E2041" s="29"/>
      <c r="H2041" s="27"/>
      <c r="K2041"/>
      <c r="P2041" s="27"/>
      <c r="Q2041" s="27"/>
      <c r="R2041" s="27"/>
    </row>
    <row r="2042" spans="1:18">
      <c r="A2042" s="28"/>
      <c r="B2042" s="29"/>
      <c r="C2042" s="29"/>
      <c r="D2042" s="29"/>
      <c r="E2042" s="29"/>
      <c r="H2042" s="27"/>
      <c r="K2042"/>
      <c r="P2042" s="27"/>
      <c r="Q2042" s="27"/>
      <c r="R2042" s="27"/>
    </row>
    <row r="2043" spans="1:18">
      <c r="A2043" s="28"/>
      <c r="B2043" s="29"/>
      <c r="C2043" s="29"/>
      <c r="D2043" s="29"/>
      <c r="E2043" s="29"/>
      <c r="H2043" s="27"/>
      <c r="K2043"/>
      <c r="P2043" s="27"/>
      <c r="Q2043" s="27"/>
      <c r="R2043" s="27"/>
    </row>
    <row r="2044" spans="1:18">
      <c r="A2044" s="28"/>
      <c r="B2044" s="29"/>
      <c r="C2044" s="29"/>
      <c r="D2044" s="29"/>
      <c r="E2044" s="29"/>
      <c r="H2044" s="27"/>
      <c r="K2044"/>
      <c r="P2044" s="27"/>
      <c r="Q2044" s="27"/>
      <c r="R2044" s="27"/>
    </row>
    <row r="2045" spans="1:18">
      <c r="A2045" s="28"/>
      <c r="B2045" s="29"/>
      <c r="C2045" s="29"/>
      <c r="D2045" s="29"/>
      <c r="E2045" s="29"/>
      <c r="H2045" s="27"/>
      <c r="K2045"/>
      <c r="P2045" s="27"/>
      <c r="Q2045" s="27"/>
      <c r="R2045" s="27"/>
    </row>
    <row r="2046" spans="1:18">
      <c r="A2046" s="28"/>
      <c r="B2046" s="29"/>
      <c r="C2046" s="29"/>
      <c r="D2046" s="29"/>
      <c r="E2046" s="29"/>
      <c r="H2046" s="27"/>
      <c r="K2046"/>
      <c r="P2046" s="27"/>
      <c r="Q2046" s="27"/>
      <c r="R2046" s="27"/>
    </row>
    <row r="2047" spans="1:18">
      <c r="A2047" s="28"/>
      <c r="B2047" s="29"/>
      <c r="C2047" s="29"/>
      <c r="D2047" s="29"/>
      <c r="E2047" s="29"/>
      <c r="H2047" s="27"/>
      <c r="K2047"/>
      <c r="P2047" s="27"/>
      <c r="Q2047" s="27"/>
      <c r="R2047" s="27"/>
    </row>
    <row r="2048" spans="1:18">
      <c r="A2048" s="28"/>
      <c r="B2048" s="29"/>
      <c r="C2048" s="29"/>
      <c r="D2048" s="29"/>
      <c r="E2048" s="29"/>
      <c r="H2048" s="27"/>
      <c r="K2048"/>
      <c r="P2048" s="27"/>
      <c r="Q2048" s="27"/>
      <c r="R2048" s="27"/>
    </row>
    <row r="2049" spans="1:18">
      <c r="A2049" s="28"/>
      <c r="B2049" s="29"/>
      <c r="C2049" s="29"/>
      <c r="D2049" s="29"/>
      <c r="E2049" s="29"/>
      <c r="H2049" s="27"/>
      <c r="K2049"/>
      <c r="P2049" s="27"/>
      <c r="Q2049" s="27"/>
      <c r="R2049" s="27"/>
    </row>
    <row r="2050" spans="1:18">
      <c r="A2050" s="28"/>
      <c r="B2050" s="29"/>
      <c r="C2050" s="29"/>
      <c r="D2050" s="29"/>
      <c r="E2050" s="29"/>
      <c r="H2050" s="27"/>
      <c r="K2050"/>
      <c r="P2050" s="27"/>
      <c r="Q2050" s="27"/>
      <c r="R2050" s="27"/>
    </row>
    <row r="2051" spans="1:18">
      <c r="A2051" s="28"/>
      <c r="B2051" s="29"/>
      <c r="C2051" s="29"/>
      <c r="D2051" s="29"/>
      <c r="E2051" s="29"/>
      <c r="H2051" s="27"/>
      <c r="K2051"/>
      <c r="P2051" s="27"/>
      <c r="Q2051" s="27"/>
      <c r="R2051" s="27"/>
    </row>
    <row r="2052" spans="1:18">
      <c r="A2052" s="28"/>
      <c r="B2052" s="29"/>
      <c r="C2052" s="29"/>
      <c r="D2052" s="29"/>
      <c r="E2052" s="29"/>
      <c r="H2052" s="27"/>
      <c r="K2052"/>
      <c r="P2052" s="27"/>
      <c r="Q2052" s="27"/>
      <c r="R2052" s="27"/>
    </row>
    <row r="2053" spans="1:18">
      <c r="A2053" s="28"/>
      <c r="B2053" s="29"/>
      <c r="C2053" s="29"/>
      <c r="D2053" s="29"/>
      <c r="E2053" s="29"/>
      <c r="H2053" s="27"/>
      <c r="K2053"/>
      <c r="P2053" s="27"/>
      <c r="Q2053" s="27"/>
      <c r="R2053" s="27"/>
    </row>
    <row r="2054" spans="1:18">
      <c r="A2054" s="28"/>
      <c r="B2054" s="29"/>
      <c r="C2054" s="29"/>
      <c r="D2054" s="29"/>
      <c r="E2054" s="29"/>
      <c r="H2054" s="27"/>
      <c r="K2054"/>
      <c r="P2054" s="27"/>
      <c r="Q2054" s="27"/>
      <c r="R2054" s="27"/>
    </row>
    <row r="2055" spans="1:18">
      <c r="A2055" s="28"/>
      <c r="B2055" s="29"/>
      <c r="C2055" s="29"/>
      <c r="D2055" s="29"/>
      <c r="E2055" s="29"/>
      <c r="H2055" s="27"/>
      <c r="K2055"/>
      <c r="P2055" s="27"/>
      <c r="Q2055" s="27"/>
      <c r="R2055" s="27"/>
    </row>
    <row r="2056" spans="1:18">
      <c r="A2056" s="28"/>
      <c r="B2056" s="29"/>
      <c r="C2056" s="29"/>
      <c r="D2056" s="29"/>
      <c r="E2056" s="29"/>
      <c r="H2056" s="27"/>
      <c r="K2056"/>
      <c r="P2056" s="27"/>
      <c r="Q2056" s="27"/>
      <c r="R2056" s="27"/>
    </row>
    <row r="2057" spans="1:18">
      <c r="A2057" s="28"/>
      <c r="B2057" s="29"/>
      <c r="C2057" s="29"/>
      <c r="D2057" s="29"/>
      <c r="E2057" s="29"/>
      <c r="H2057" s="27"/>
      <c r="K2057"/>
      <c r="P2057" s="27"/>
      <c r="Q2057" s="27"/>
      <c r="R2057" s="27"/>
    </row>
    <row r="2058" spans="1:18">
      <c r="A2058" s="28"/>
      <c r="B2058" s="29"/>
      <c r="C2058" s="29"/>
      <c r="D2058" s="29"/>
      <c r="E2058" s="29"/>
      <c r="H2058" s="27"/>
      <c r="K2058"/>
      <c r="P2058" s="27"/>
      <c r="Q2058" s="27"/>
      <c r="R2058" s="27"/>
    </row>
    <row r="2059" spans="1:18">
      <c r="A2059" s="28"/>
      <c r="B2059" s="29"/>
      <c r="C2059" s="29"/>
      <c r="D2059" s="29"/>
      <c r="E2059" s="29"/>
      <c r="H2059" s="27"/>
      <c r="K2059"/>
      <c r="P2059" s="27"/>
      <c r="Q2059" s="27"/>
      <c r="R2059" s="27"/>
    </row>
    <row r="2060" spans="1:18">
      <c r="A2060" s="28"/>
      <c r="B2060" s="29"/>
      <c r="C2060" s="29"/>
      <c r="D2060" s="29"/>
      <c r="E2060" s="29"/>
      <c r="H2060" s="27"/>
      <c r="K2060"/>
      <c r="P2060" s="27"/>
      <c r="Q2060" s="27"/>
      <c r="R2060" s="27"/>
    </row>
    <row r="2061" spans="1:18">
      <c r="A2061" s="28"/>
      <c r="B2061" s="29"/>
      <c r="C2061" s="29"/>
      <c r="D2061" s="29"/>
      <c r="E2061" s="29"/>
      <c r="H2061" s="27"/>
      <c r="K2061"/>
      <c r="P2061" s="27"/>
      <c r="Q2061" s="27"/>
      <c r="R2061" s="27"/>
    </row>
    <row r="2062" spans="1:18">
      <c r="A2062" s="28"/>
      <c r="B2062" s="29"/>
      <c r="C2062" s="29"/>
      <c r="D2062" s="29"/>
      <c r="E2062" s="29"/>
      <c r="H2062" s="27"/>
      <c r="K2062"/>
      <c r="P2062" s="27"/>
      <c r="Q2062" s="27"/>
      <c r="R2062" s="27"/>
    </row>
    <row r="2063" spans="1:18">
      <c r="A2063" s="28"/>
      <c r="B2063" s="29"/>
      <c r="C2063" s="29"/>
      <c r="D2063" s="29"/>
      <c r="E2063" s="29"/>
      <c r="H2063" s="27"/>
      <c r="K2063"/>
      <c r="P2063" s="27"/>
      <c r="Q2063" s="27"/>
      <c r="R2063" s="27"/>
    </row>
    <row r="2064" spans="1:18">
      <c r="A2064" s="28"/>
      <c r="B2064" s="29"/>
      <c r="C2064" s="29"/>
      <c r="D2064" s="29"/>
      <c r="E2064" s="29"/>
      <c r="H2064" s="27"/>
      <c r="K2064"/>
      <c r="P2064" s="27"/>
      <c r="Q2064" s="27"/>
      <c r="R2064" s="27"/>
    </row>
    <row r="2065" spans="1:18">
      <c r="A2065" s="28"/>
      <c r="B2065" s="29"/>
      <c r="C2065" s="29"/>
      <c r="D2065" s="29"/>
      <c r="E2065" s="29"/>
      <c r="H2065" s="27"/>
      <c r="K2065"/>
      <c r="P2065" s="27"/>
      <c r="Q2065" s="27"/>
      <c r="R2065" s="27"/>
    </row>
    <row r="2066" spans="1:18">
      <c r="A2066" s="28"/>
      <c r="B2066" s="29"/>
      <c r="C2066" s="29"/>
      <c r="D2066" s="29"/>
      <c r="E2066" s="29"/>
      <c r="H2066" s="27"/>
      <c r="K2066"/>
      <c r="P2066" s="27"/>
      <c r="Q2066" s="27"/>
      <c r="R2066" s="27"/>
    </row>
    <row r="2067" spans="1:18">
      <c r="A2067" s="28"/>
      <c r="B2067" s="29"/>
      <c r="C2067" s="29"/>
      <c r="D2067" s="29"/>
      <c r="E2067" s="29"/>
      <c r="H2067" s="27"/>
      <c r="K2067"/>
      <c r="P2067" s="27"/>
      <c r="Q2067" s="27"/>
      <c r="R2067" s="27"/>
    </row>
    <row r="2068" spans="1:18">
      <c r="A2068" s="28"/>
      <c r="B2068" s="29"/>
      <c r="C2068" s="29"/>
      <c r="D2068" s="29"/>
      <c r="E2068" s="29"/>
      <c r="H2068" s="27"/>
      <c r="K2068"/>
      <c r="P2068" s="27"/>
      <c r="Q2068" s="27"/>
      <c r="R2068" s="27"/>
    </row>
    <row r="2069" spans="1:18">
      <c r="A2069" s="28"/>
      <c r="B2069" s="29"/>
      <c r="C2069" s="29"/>
      <c r="D2069" s="29"/>
      <c r="E2069" s="29"/>
      <c r="H2069" s="27"/>
      <c r="K2069"/>
      <c r="P2069" s="27"/>
      <c r="Q2069" s="27"/>
      <c r="R2069" s="27"/>
    </row>
    <row r="2070" spans="1:18">
      <c r="A2070" s="28"/>
      <c r="B2070" s="29"/>
      <c r="C2070" s="29"/>
      <c r="D2070" s="29"/>
      <c r="E2070" s="29"/>
      <c r="H2070" s="27"/>
      <c r="K2070"/>
      <c r="P2070" s="27"/>
      <c r="Q2070" s="27"/>
      <c r="R2070" s="27"/>
    </row>
    <row r="2071" spans="1:18">
      <c r="A2071" s="28"/>
      <c r="B2071" s="29"/>
      <c r="C2071" s="29"/>
      <c r="D2071" s="29"/>
      <c r="E2071" s="29"/>
      <c r="H2071" s="27"/>
      <c r="K2071"/>
      <c r="P2071" s="27"/>
      <c r="Q2071" s="27"/>
      <c r="R2071" s="27"/>
    </row>
    <row r="2072" spans="1:18">
      <c r="A2072" s="28"/>
      <c r="B2072" s="29"/>
      <c r="C2072" s="29"/>
      <c r="D2072" s="29"/>
      <c r="E2072" s="29"/>
      <c r="H2072" s="27"/>
      <c r="K2072"/>
      <c r="P2072" s="27"/>
      <c r="Q2072" s="27"/>
      <c r="R2072" s="27"/>
    </row>
    <row r="2073" spans="1:18">
      <c r="A2073" s="28"/>
      <c r="B2073" s="29"/>
      <c r="C2073" s="29"/>
      <c r="D2073" s="29"/>
      <c r="E2073" s="29"/>
      <c r="H2073" s="27"/>
      <c r="K2073"/>
      <c r="P2073" s="27"/>
      <c r="Q2073" s="27"/>
      <c r="R2073" s="27"/>
    </row>
    <row r="2074" spans="1:18">
      <c r="A2074" s="28"/>
      <c r="B2074" s="29"/>
      <c r="C2074" s="29"/>
      <c r="D2074" s="29"/>
      <c r="E2074" s="29"/>
      <c r="H2074" s="27"/>
      <c r="K2074"/>
      <c r="P2074" s="27"/>
      <c r="Q2074" s="27"/>
      <c r="R2074" s="27"/>
    </row>
    <row r="2075" spans="1:18">
      <c r="A2075" s="28"/>
      <c r="B2075" s="29"/>
      <c r="C2075" s="29"/>
      <c r="D2075" s="29"/>
      <c r="E2075" s="29"/>
      <c r="H2075" s="27"/>
      <c r="K2075"/>
      <c r="P2075" s="27"/>
      <c r="Q2075" s="27"/>
      <c r="R2075" s="27"/>
    </row>
    <row r="2076" spans="1:18">
      <c r="A2076" s="28"/>
      <c r="B2076" s="29"/>
      <c r="C2076" s="29"/>
      <c r="D2076" s="29"/>
      <c r="E2076" s="29"/>
      <c r="H2076" s="27"/>
      <c r="K2076"/>
      <c r="P2076" s="27"/>
      <c r="Q2076" s="27"/>
      <c r="R2076" s="27"/>
    </row>
    <row r="2077" spans="1:18">
      <c r="A2077" s="28"/>
      <c r="B2077" s="29"/>
      <c r="C2077" s="29"/>
      <c r="D2077" s="29"/>
      <c r="E2077" s="29"/>
      <c r="H2077" s="27"/>
      <c r="K2077"/>
      <c r="P2077" s="27"/>
      <c r="Q2077" s="27"/>
      <c r="R2077" s="27"/>
    </row>
    <row r="2078" spans="1:18">
      <c r="A2078" s="28"/>
      <c r="B2078" s="29"/>
      <c r="C2078" s="29"/>
      <c r="D2078" s="29"/>
      <c r="E2078" s="29"/>
      <c r="H2078" s="27"/>
      <c r="K2078"/>
      <c r="P2078" s="27"/>
      <c r="Q2078" s="27"/>
      <c r="R2078" s="27"/>
    </row>
    <row r="2079" spans="1:18">
      <c r="A2079" s="28"/>
      <c r="B2079" s="29"/>
      <c r="C2079" s="29"/>
      <c r="D2079" s="29"/>
      <c r="E2079" s="29"/>
      <c r="H2079" s="27"/>
      <c r="K2079"/>
      <c r="P2079" s="27"/>
      <c r="Q2079" s="27"/>
      <c r="R2079" s="27"/>
    </row>
    <row r="2080" spans="1:18">
      <c r="A2080" s="28"/>
      <c r="B2080" s="29"/>
      <c r="C2080" s="29"/>
      <c r="D2080" s="29"/>
      <c r="E2080" s="29"/>
      <c r="H2080" s="27"/>
      <c r="K2080"/>
      <c r="P2080" s="27"/>
      <c r="Q2080" s="27"/>
      <c r="R2080" s="27"/>
    </row>
    <row r="2081" spans="1:18">
      <c r="A2081" s="28"/>
      <c r="B2081" s="29"/>
      <c r="C2081" s="29"/>
      <c r="D2081" s="29"/>
      <c r="E2081" s="29"/>
      <c r="H2081" s="27"/>
      <c r="K2081"/>
      <c r="P2081" s="27"/>
      <c r="Q2081" s="27"/>
      <c r="R2081" s="27"/>
    </row>
    <row r="2082" spans="1:18">
      <c r="A2082" s="28"/>
      <c r="B2082" s="29"/>
      <c r="C2082" s="29"/>
      <c r="D2082" s="29"/>
      <c r="E2082" s="29"/>
      <c r="H2082" s="27"/>
      <c r="K2082"/>
      <c r="P2082" s="27"/>
      <c r="Q2082" s="27"/>
      <c r="R2082" s="27"/>
    </row>
    <row r="2083" spans="1:18">
      <c r="A2083" s="28"/>
      <c r="B2083" s="29"/>
      <c r="C2083" s="29"/>
      <c r="D2083" s="29"/>
      <c r="E2083" s="29"/>
      <c r="H2083" s="27"/>
      <c r="K2083"/>
      <c r="P2083" s="27"/>
      <c r="Q2083" s="27"/>
      <c r="R2083" s="27"/>
    </row>
    <row r="2084" spans="1:18">
      <c r="A2084" s="28"/>
      <c r="B2084" s="29"/>
      <c r="C2084" s="29"/>
      <c r="D2084" s="29"/>
      <c r="E2084" s="29"/>
      <c r="H2084" s="27"/>
      <c r="K2084"/>
      <c r="P2084" s="27"/>
      <c r="Q2084" s="27"/>
      <c r="R2084" s="27"/>
    </row>
    <row r="2085" spans="1:18">
      <c r="A2085" s="28"/>
      <c r="B2085" s="29"/>
      <c r="C2085" s="29"/>
      <c r="D2085" s="29"/>
      <c r="E2085" s="29"/>
      <c r="H2085" s="27"/>
      <c r="K2085"/>
      <c r="P2085" s="27"/>
      <c r="Q2085" s="27"/>
      <c r="R2085" s="27"/>
    </row>
    <row r="2086" spans="1:18">
      <c r="A2086" s="28"/>
      <c r="B2086" s="29"/>
      <c r="C2086" s="29"/>
      <c r="D2086" s="29"/>
      <c r="E2086" s="29"/>
      <c r="H2086" s="27"/>
      <c r="K2086"/>
      <c r="P2086" s="27"/>
      <c r="Q2086" s="27"/>
      <c r="R2086" s="27"/>
    </row>
    <row r="2087" spans="1:18">
      <c r="A2087" s="28"/>
      <c r="B2087" s="29"/>
      <c r="C2087" s="29"/>
      <c r="D2087" s="29"/>
      <c r="E2087" s="29"/>
      <c r="H2087" s="27"/>
      <c r="K2087"/>
      <c r="P2087" s="27"/>
      <c r="Q2087" s="27"/>
      <c r="R2087" s="27"/>
    </row>
    <row r="2088" spans="1:18">
      <c r="A2088" s="28"/>
      <c r="B2088" s="29"/>
      <c r="C2088" s="29"/>
      <c r="D2088" s="29"/>
      <c r="E2088" s="29"/>
      <c r="H2088" s="27"/>
      <c r="K2088"/>
      <c r="P2088" s="27"/>
      <c r="Q2088" s="27"/>
      <c r="R2088" s="27"/>
    </row>
    <row r="2089" spans="1:18">
      <c r="A2089" s="28"/>
      <c r="B2089" s="29"/>
      <c r="C2089" s="29"/>
      <c r="D2089" s="29"/>
      <c r="E2089" s="29"/>
      <c r="H2089" s="27"/>
      <c r="K2089"/>
      <c r="P2089" s="27"/>
      <c r="Q2089" s="27"/>
      <c r="R2089" s="27"/>
    </row>
    <row r="2090" spans="1:18">
      <c r="A2090" s="28"/>
      <c r="B2090" s="29"/>
      <c r="C2090" s="29"/>
      <c r="D2090" s="29"/>
      <c r="E2090" s="29"/>
      <c r="H2090" s="27"/>
      <c r="K2090"/>
      <c r="P2090" s="27"/>
      <c r="Q2090" s="27"/>
      <c r="R2090" s="27"/>
    </row>
    <row r="2091" spans="1:18">
      <c r="A2091" s="28"/>
      <c r="B2091" s="29"/>
      <c r="C2091" s="29"/>
      <c r="D2091" s="29"/>
      <c r="E2091" s="29"/>
      <c r="H2091" s="27"/>
      <c r="K2091"/>
      <c r="P2091" s="27"/>
      <c r="Q2091" s="27"/>
      <c r="R2091" s="27"/>
    </row>
    <row r="2092" spans="1:18">
      <c r="A2092" s="28"/>
      <c r="B2092" s="29"/>
      <c r="C2092" s="29"/>
      <c r="D2092" s="29"/>
      <c r="E2092" s="29"/>
      <c r="H2092" s="27"/>
      <c r="K2092"/>
      <c r="P2092" s="27"/>
      <c r="Q2092" s="27"/>
      <c r="R2092" s="27"/>
    </row>
    <row r="2093" spans="1:18">
      <c r="A2093" s="28"/>
      <c r="B2093" s="29"/>
      <c r="C2093" s="29"/>
      <c r="D2093" s="29"/>
      <c r="E2093" s="29"/>
      <c r="H2093" s="27"/>
      <c r="K2093"/>
      <c r="P2093" s="27"/>
      <c r="Q2093" s="27"/>
      <c r="R2093" s="27"/>
    </row>
    <row r="2094" spans="1:18">
      <c r="A2094" s="28"/>
      <c r="B2094" s="29"/>
      <c r="C2094" s="29"/>
      <c r="D2094" s="29"/>
      <c r="E2094" s="29"/>
      <c r="H2094" s="27"/>
      <c r="K2094"/>
      <c r="P2094" s="27"/>
      <c r="Q2094" s="27"/>
      <c r="R2094" s="27"/>
    </row>
    <row r="2095" spans="1:18">
      <c r="A2095" s="28"/>
      <c r="B2095" s="29"/>
      <c r="C2095" s="29"/>
      <c r="D2095" s="29"/>
      <c r="E2095" s="29"/>
      <c r="H2095" s="27"/>
      <c r="K2095"/>
      <c r="P2095" s="27"/>
      <c r="Q2095" s="27"/>
      <c r="R2095" s="27"/>
    </row>
    <row r="2096" spans="1:18">
      <c r="A2096" s="28"/>
      <c r="B2096" s="29"/>
      <c r="C2096" s="29"/>
      <c r="D2096" s="29"/>
      <c r="E2096" s="29"/>
      <c r="H2096" s="27"/>
      <c r="K2096"/>
      <c r="P2096" s="27"/>
      <c r="Q2096" s="27"/>
      <c r="R2096" s="27"/>
    </row>
    <row r="2097" spans="1:18">
      <c r="A2097" s="28"/>
      <c r="B2097" s="29"/>
      <c r="C2097" s="29"/>
      <c r="D2097" s="29"/>
      <c r="E2097" s="29"/>
      <c r="H2097" s="27"/>
      <c r="K2097"/>
      <c r="P2097" s="27"/>
      <c r="Q2097" s="27"/>
      <c r="R2097" s="27"/>
    </row>
    <row r="2098" spans="1:18">
      <c r="A2098" s="28"/>
      <c r="B2098" s="29"/>
      <c r="C2098" s="29"/>
      <c r="D2098" s="29"/>
      <c r="E2098" s="29"/>
      <c r="H2098" s="27"/>
      <c r="K2098"/>
      <c r="P2098" s="27"/>
      <c r="Q2098" s="27"/>
      <c r="R2098" s="27"/>
    </row>
    <row r="2099" spans="1:18">
      <c r="A2099" s="28"/>
      <c r="B2099" s="29"/>
      <c r="C2099" s="29"/>
      <c r="D2099" s="29"/>
      <c r="E2099" s="29"/>
      <c r="H2099" s="27"/>
      <c r="K2099"/>
      <c r="P2099" s="27"/>
      <c r="Q2099" s="27"/>
      <c r="R2099" s="27"/>
    </row>
    <row r="2100" spans="1:18">
      <c r="A2100" s="28"/>
      <c r="B2100" s="29"/>
      <c r="C2100" s="29"/>
      <c r="D2100" s="29"/>
      <c r="E2100" s="29"/>
      <c r="H2100" s="27"/>
      <c r="K2100"/>
      <c r="P2100" s="27"/>
      <c r="Q2100" s="27"/>
      <c r="R2100" s="27"/>
    </row>
    <row r="2101" spans="1:18">
      <c r="A2101" s="28"/>
      <c r="B2101" s="29"/>
      <c r="C2101" s="29"/>
      <c r="D2101" s="29"/>
      <c r="E2101" s="29"/>
      <c r="H2101" s="27"/>
      <c r="K2101"/>
      <c r="P2101" s="27"/>
      <c r="Q2101" s="27"/>
      <c r="R2101" s="27"/>
    </row>
    <row r="2102" spans="1:18">
      <c r="A2102" s="28"/>
      <c r="B2102" s="29"/>
      <c r="C2102" s="29"/>
      <c r="D2102" s="29"/>
      <c r="E2102" s="29"/>
      <c r="H2102" s="27"/>
      <c r="K2102"/>
      <c r="P2102" s="27"/>
      <c r="Q2102" s="27"/>
      <c r="R2102" s="27"/>
    </row>
    <row r="2103" spans="1:18">
      <c r="A2103" s="28"/>
      <c r="B2103" s="29"/>
      <c r="C2103" s="29"/>
      <c r="D2103" s="29"/>
      <c r="E2103" s="29"/>
      <c r="H2103" s="27"/>
      <c r="K2103"/>
      <c r="P2103" s="27"/>
      <c r="Q2103" s="27"/>
      <c r="R2103" s="27"/>
    </row>
    <row r="2104" spans="1:18">
      <c r="A2104" s="28"/>
      <c r="B2104" s="29"/>
      <c r="C2104" s="29"/>
      <c r="D2104" s="29"/>
      <c r="E2104" s="29"/>
      <c r="H2104" s="27"/>
      <c r="K2104"/>
      <c r="P2104" s="27"/>
      <c r="Q2104" s="27"/>
      <c r="R2104" s="27"/>
    </row>
    <row r="2105" spans="1:18">
      <c r="A2105" s="28"/>
      <c r="B2105" s="29"/>
      <c r="C2105" s="29"/>
      <c r="D2105" s="29"/>
      <c r="E2105" s="29"/>
      <c r="H2105" s="27"/>
      <c r="K2105"/>
      <c r="P2105" s="27"/>
      <c r="Q2105" s="27"/>
      <c r="R2105" s="27"/>
    </row>
    <row r="2106" spans="1:18">
      <c r="A2106" s="28"/>
      <c r="B2106" s="29"/>
      <c r="C2106" s="29"/>
      <c r="D2106" s="29"/>
      <c r="E2106" s="29"/>
      <c r="H2106" s="27"/>
      <c r="K2106"/>
      <c r="P2106" s="27"/>
      <c r="Q2106" s="27"/>
      <c r="R2106" s="27"/>
    </row>
    <row r="2107" spans="1:18">
      <c r="A2107" s="28"/>
      <c r="B2107" s="29"/>
      <c r="C2107" s="29"/>
      <c r="D2107" s="29"/>
      <c r="E2107" s="29"/>
      <c r="H2107" s="27"/>
      <c r="K2107"/>
      <c r="P2107" s="27"/>
      <c r="Q2107" s="27"/>
      <c r="R2107" s="27"/>
    </row>
    <row r="2108" spans="1:18">
      <c r="A2108" s="28"/>
      <c r="B2108" s="29"/>
      <c r="C2108" s="29"/>
      <c r="D2108" s="29"/>
      <c r="E2108" s="29"/>
      <c r="H2108" s="27"/>
      <c r="K2108"/>
      <c r="P2108" s="27"/>
      <c r="Q2108" s="27"/>
      <c r="R2108" s="27"/>
    </row>
    <row r="2109" spans="1:18">
      <c r="A2109" s="28"/>
      <c r="B2109" s="29"/>
      <c r="C2109" s="29"/>
      <c r="D2109" s="29"/>
      <c r="E2109" s="29"/>
      <c r="H2109" s="27"/>
      <c r="K2109"/>
      <c r="P2109" s="27"/>
      <c r="Q2109" s="27"/>
      <c r="R2109" s="27"/>
    </row>
    <row r="2110" spans="1:18">
      <c r="A2110" s="28"/>
      <c r="B2110" s="29"/>
      <c r="C2110" s="29"/>
      <c r="D2110" s="29"/>
      <c r="E2110" s="29"/>
      <c r="H2110" s="27"/>
      <c r="K2110"/>
      <c r="P2110" s="27"/>
      <c r="Q2110" s="27"/>
      <c r="R2110" s="27"/>
    </row>
    <row r="2111" spans="1:18">
      <c r="A2111" s="28"/>
      <c r="B2111" s="29"/>
      <c r="C2111" s="29"/>
      <c r="D2111" s="29"/>
      <c r="E2111" s="29"/>
      <c r="H2111" s="27"/>
      <c r="K2111"/>
      <c r="P2111" s="27"/>
      <c r="Q2111" s="27"/>
      <c r="R2111" s="27"/>
    </row>
    <row r="2112" spans="1:18">
      <c r="A2112" s="28"/>
      <c r="B2112" s="29"/>
      <c r="C2112" s="29"/>
      <c r="D2112" s="29"/>
      <c r="E2112" s="29"/>
      <c r="H2112" s="27"/>
      <c r="K2112"/>
      <c r="P2112" s="27"/>
      <c r="Q2112" s="27"/>
      <c r="R2112" s="27"/>
    </row>
    <row r="2113" spans="1:18">
      <c r="A2113" s="28"/>
      <c r="B2113" s="29"/>
      <c r="C2113" s="29"/>
      <c r="D2113" s="29"/>
      <c r="E2113" s="29"/>
      <c r="H2113" s="27"/>
      <c r="K2113"/>
      <c r="P2113" s="27"/>
      <c r="Q2113" s="27"/>
      <c r="R2113" s="27"/>
    </row>
    <row r="2114" spans="1:18">
      <c r="A2114" s="28"/>
      <c r="B2114" s="29"/>
      <c r="C2114" s="29"/>
      <c r="D2114" s="29"/>
      <c r="E2114" s="29"/>
      <c r="H2114" s="27"/>
      <c r="K2114"/>
      <c r="P2114" s="27"/>
      <c r="Q2114" s="27"/>
      <c r="R2114" s="27"/>
    </row>
    <row r="2115" spans="1:18">
      <c r="A2115" s="28"/>
      <c r="B2115" s="29"/>
      <c r="C2115" s="29"/>
      <c r="D2115" s="29"/>
      <c r="E2115" s="29"/>
      <c r="H2115" s="27"/>
      <c r="K2115"/>
      <c r="P2115" s="27"/>
      <c r="Q2115" s="27"/>
      <c r="R2115" s="27"/>
    </row>
    <row r="2116" spans="1:18">
      <c r="A2116" s="28"/>
      <c r="B2116" s="29"/>
      <c r="C2116" s="29"/>
      <c r="D2116" s="29"/>
      <c r="E2116" s="29"/>
      <c r="H2116" s="27"/>
      <c r="K2116"/>
      <c r="P2116" s="27"/>
      <c r="Q2116" s="27"/>
      <c r="R2116" s="27"/>
    </row>
    <row r="2117" spans="1:18">
      <c r="A2117" s="28"/>
      <c r="B2117" s="29"/>
      <c r="C2117" s="29"/>
      <c r="D2117" s="29"/>
      <c r="E2117" s="29"/>
      <c r="H2117" s="27"/>
      <c r="K2117"/>
      <c r="P2117" s="27"/>
      <c r="Q2117" s="27"/>
      <c r="R2117" s="27"/>
    </row>
    <row r="2118" spans="1:18">
      <c r="A2118" s="28"/>
      <c r="B2118" s="29"/>
      <c r="C2118" s="29"/>
      <c r="D2118" s="29"/>
      <c r="E2118" s="29"/>
      <c r="H2118" s="27"/>
      <c r="K2118"/>
      <c r="P2118" s="27"/>
      <c r="Q2118" s="27"/>
      <c r="R2118" s="27"/>
    </row>
    <row r="2119" spans="1:18">
      <c r="A2119" s="28"/>
      <c r="B2119" s="29"/>
      <c r="C2119" s="29"/>
      <c r="D2119" s="29"/>
      <c r="E2119" s="29"/>
      <c r="H2119" s="27"/>
      <c r="K2119"/>
      <c r="P2119" s="27"/>
      <c r="Q2119" s="27"/>
      <c r="R2119" s="27"/>
    </row>
    <row r="2120" spans="1:18">
      <c r="A2120" s="28"/>
      <c r="B2120" s="29"/>
      <c r="C2120" s="29"/>
      <c r="D2120" s="29"/>
      <c r="E2120" s="29"/>
      <c r="H2120" s="27"/>
      <c r="K2120"/>
      <c r="P2120" s="27"/>
      <c r="Q2120" s="27"/>
      <c r="R2120" s="27"/>
    </row>
    <row r="2121" spans="1:18">
      <c r="A2121" s="28"/>
      <c r="B2121" s="29"/>
      <c r="C2121" s="29"/>
      <c r="D2121" s="29"/>
      <c r="E2121" s="29"/>
      <c r="H2121" s="27"/>
      <c r="K2121"/>
      <c r="P2121" s="27"/>
      <c r="Q2121" s="27"/>
      <c r="R2121" s="27"/>
    </row>
    <row r="2122" spans="1:18">
      <c r="A2122" s="28"/>
      <c r="B2122" s="29"/>
      <c r="C2122" s="29"/>
      <c r="D2122" s="29"/>
      <c r="E2122" s="29"/>
      <c r="H2122" s="27"/>
      <c r="K2122"/>
      <c r="P2122" s="27"/>
      <c r="Q2122" s="27"/>
      <c r="R2122" s="27"/>
    </row>
    <row r="2123" spans="1:18">
      <c r="A2123" s="28"/>
      <c r="B2123" s="29"/>
      <c r="C2123" s="29"/>
      <c r="D2123" s="29"/>
      <c r="E2123" s="29"/>
      <c r="H2123" s="27"/>
      <c r="K2123"/>
      <c r="P2123" s="27"/>
      <c r="Q2123" s="27"/>
      <c r="R2123" s="27"/>
    </row>
    <row r="2124" spans="1:18">
      <c r="A2124" s="28"/>
      <c r="B2124" s="29"/>
      <c r="C2124" s="29"/>
      <c r="D2124" s="29"/>
      <c r="E2124" s="29"/>
      <c r="H2124" s="27"/>
      <c r="K2124"/>
      <c r="P2124" s="27"/>
      <c r="Q2124" s="27"/>
      <c r="R2124" s="27"/>
    </row>
    <row r="2125" spans="1:18">
      <c r="A2125" s="28"/>
      <c r="B2125" s="29"/>
      <c r="C2125" s="29"/>
      <c r="D2125" s="29"/>
      <c r="E2125" s="29"/>
      <c r="H2125" s="27"/>
      <c r="K2125"/>
      <c r="P2125" s="27"/>
      <c r="Q2125" s="27"/>
      <c r="R2125" s="27"/>
    </row>
    <row r="2126" spans="1:18">
      <c r="A2126" s="28"/>
      <c r="B2126" s="29"/>
      <c r="C2126" s="29"/>
      <c r="D2126" s="29"/>
      <c r="E2126" s="29"/>
      <c r="H2126" s="27"/>
      <c r="K2126"/>
      <c r="P2126" s="27"/>
      <c r="Q2126" s="27"/>
      <c r="R2126" s="27"/>
    </row>
    <row r="2127" spans="1:18">
      <c r="A2127" s="28"/>
      <c r="B2127" s="29"/>
      <c r="C2127" s="29"/>
      <c r="D2127" s="29"/>
      <c r="E2127" s="29"/>
      <c r="H2127" s="27"/>
      <c r="K2127"/>
      <c r="P2127" s="27"/>
      <c r="Q2127" s="27"/>
      <c r="R2127" s="27"/>
    </row>
    <row r="2128" spans="1:18">
      <c r="A2128" s="28"/>
      <c r="B2128" s="29"/>
      <c r="C2128" s="29"/>
      <c r="D2128" s="29"/>
      <c r="E2128" s="29"/>
      <c r="H2128" s="27"/>
      <c r="K2128"/>
      <c r="P2128" s="27"/>
      <c r="Q2128" s="27"/>
      <c r="R2128" s="27"/>
    </row>
    <row r="2129" spans="1:18">
      <c r="A2129" s="28"/>
      <c r="B2129" s="29"/>
      <c r="C2129" s="29"/>
      <c r="D2129" s="29"/>
      <c r="E2129" s="29"/>
      <c r="H2129" s="27"/>
      <c r="K2129"/>
      <c r="P2129" s="27"/>
      <c r="Q2129" s="27"/>
      <c r="R2129" s="27"/>
    </row>
    <row r="2130" spans="1:18">
      <c r="A2130" s="28"/>
      <c r="B2130" s="29"/>
      <c r="C2130" s="29"/>
      <c r="D2130" s="29"/>
      <c r="E2130" s="29"/>
      <c r="H2130" s="27"/>
      <c r="K2130"/>
      <c r="P2130" s="27"/>
      <c r="Q2130" s="27"/>
      <c r="R2130" s="27"/>
    </row>
    <row r="2131" spans="1:18">
      <c r="A2131" s="28"/>
      <c r="B2131" s="29"/>
      <c r="C2131" s="29"/>
      <c r="D2131" s="29"/>
      <c r="E2131" s="29"/>
      <c r="H2131" s="27"/>
      <c r="K2131"/>
      <c r="P2131" s="27"/>
      <c r="Q2131" s="27"/>
      <c r="R2131" s="27"/>
    </row>
    <row r="2132" spans="1:18">
      <c r="A2132" s="28"/>
      <c r="B2132" s="29"/>
      <c r="C2132" s="29"/>
      <c r="D2132" s="29"/>
      <c r="E2132" s="29"/>
      <c r="H2132" s="27"/>
      <c r="K2132"/>
      <c r="P2132" s="27"/>
      <c r="Q2132" s="27"/>
      <c r="R2132" s="27"/>
    </row>
    <row r="2133" spans="1:18">
      <c r="A2133" s="28"/>
      <c r="B2133" s="29"/>
      <c r="C2133" s="29"/>
      <c r="D2133" s="29"/>
      <c r="E2133" s="29"/>
      <c r="H2133" s="27"/>
      <c r="K2133"/>
      <c r="P2133" s="27"/>
      <c r="Q2133" s="27"/>
      <c r="R2133" s="27"/>
    </row>
    <row r="2134" spans="1:18">
      <c r="A2134" s="28"/>
      <c r="B2134" s="29"/>
      <c r="C2134" s="29"/>
      <c r="D2134" s="29"/>
      <c r="E2134" s="29"/>
      <c r="H2134" s="27"/>
      <c r="K2134"/>
      <c r="P2134" s="27"/>
      <c r="Q2134" s="27"/>
      <c r="R2134" s="27"/>
    </row>
    <row r="2135" spans="1:18">
      <c r="A2135" s="28"/>
      <c r="B2135" s="29"/>
      <c r="C2135" s="29"/>
      <c r="D2135" s="29"/>
      <c r="E2135" s="29"/>
      <c r="H2135" s="27"/>
      <c r="K2135"/>
      <c r="P2135" s="27"/>
      <c r="Q2135" s="27"/>
      <c r="R2135" s="27"/>
    </row>
    <row r="2136" spans="1:18">
      <c r="A2136" s="28"/>
      <c r="B2136" s="29"/>
      <c r="C2136" s="29"/>
      <c r="D2136" s="29"/>
      <c r="E2136" s="29"/>
      <c r="H2136" s="27"/>
      <c r="K2136"/>
      <c r="P2136" s="27"/>
      <c r="Q2136" s="27"/>
      <c r="R2136" s="27"/>
    </row>
    <row r="2137" spans="1:18">
      <c r="A2137" s="28"/>
      <c r="B2137" s="29"/>
      <c r="C2137" s="29"/>
      <c r="D2137" s="29"/>
      <c r="E2137" s="29"/>
      <c r="H2137" s="27"/>
      <c r="K2137"/>
      <c r="P2137" s="27"/>
      <c r="Q2137" s="27"/>
      <c r="R2137" s="27"/>
    </row>
    <row r="2138" spans="1:18">
      <c r="A2138" s="28"/>
      <c r="B2138" s="29"/>
      <c r="C2138" s="29"/>
      <c r="D2138" s="29"/>
      <c r="E2138" s="29"/>
      <c r="H2138" s="27"/>
      <c r="K2138"/>
      <c r="P2138" s="27"/>
      <c r="Q2138" s="27"/>
      <c r="R2138" s="27"/>
    </row>
    <row r="2139" spans="1:18">
      <c r="A2139" s="28"/>
      <c r="B2139" s="29"/>
      <c r="C2139" s="29"/>
      <c r="D2139" s="29"/>
      <c r="E2139" s="29"/>
      <c r="H2139" s="27"/>
      <c r="K2139"/>
      <c r="P2139" s="27"/>
      <c r="Q2139" s="27"/>
      <c r="R2139" s="27"/>
    </row>
    <row r="2140" spans="1:18">
      <c r="A2140" s="28"/>
      <c r="B2140" s="29"/>
      <c r="C2140" s="29"/>
      <c r="D2140" s="29"/>
      <c r="E2140" s="29"/>
      <c r="H2140" s="27"/>
      <c r="K2140"/>
      <c r="P2140" s="27"/>
      <c r="Q2140" s="27"/>
      <c r="R2140" s="27"/>
    </row>
    <row r="2141" spans="1:18">
      <c r="A2141" s="28"/>
      <c r="B2141" s="29"/>
      <c r="C2141" s="29"/>
      <c r="D2141" s="29"/>
      <c r="E2141" s="29"/>
      <c r="H2141" s="27"/>
      <c r="K2141"/>
      <c r="P2141" s="27"/>
      <c r="Q2141" s="27"/>
      <c r="R2141" s="27"/>
    </row>
    <row r="2142" spans="1:18">
      <c r="A2142" s="28"/>
      <c r="B2142" s="29"/>
      <c r="C2142" s="29"/>
      <c r="D2142" s="29"/>
      <c r="E2142" s="29"/>
      <c r="H2142" s="27"/>
      <c r="K2142"/>
      <c r="P2142" s="27"/>
      <c r="Q2142" s="27"/>
      <c r="R2142" s="27"/>
    </row>
    <row r="2143" spans="1:18">
      <c r="A2143" s="28"/>
      <c r="B2143" s="29"/>
      <c r="C2143" s="29"/>
      <c r="D2143" s="29"/>
      <c r="E2143" s="29"/>
      <c r="H2143" s="27"/>
      <c r="K2143"/>
      <c r="P2143" s="27"/>
      <c r="Q2143" s="27"/>
      <c r="R2143" s="27"/>
    </row>
    <row r="2144" spans="1:18">
      <c r="A2144" s="28"/>
      <c r="B2144" s="29"/>
      <c r="C2144" s="29"/>
      <c r="D2144" s="29"/>
      <c r="E2144" s="29"/>
      <c r="H2144" s="27"/>
      <c r="K2144"/>
      <c r="P2144" s="27"/>
      <c r="Q2144" s="27"/>
      <c r="R2144" s="27"/>
    </row>
    <row r="2145" spans="1:18">
      <c r="A2145" s="28"/>
      <c r="B2145" s="29"/>
      <c r="C2145" s="29"/>
      <c r="D2145" s="29"/>
      <c r="E2145" s="29"/>
      <c r="H2145" s="27"/>
      <c r="K2145"/>
      <c r="P2145" s="27"/>
      <c r="Q2145" s="27"/>
      <c r="R2145" s="27"/>
    </row>
    <row r="2146" spans="1:18">
      <c r="A2146" s="28"/>
      <c r="B2146" s="29"/>
      <c r="C2146" s="29"/>
      <c r="D2146" s="29"/>
      <c r="E2146" s="29"/>
      <c r="H2146" s="27"/>
      <c r="K2146"/>
      <c r="P2146" s="27"/>
      <c r="Q2146" s="27"/>
      <c r="R2146" s="27"/>
    </row>
    <row r="2147" spans="1:18">
      <c r="A2147" s="28"/>
      <c r="B2147" s="29"/>
      <c r="C2147" s="29"/>
      <c r="D2147" s="29"/>
      <c r="E2147" s="29"/>
      <c r="H2147" s="27"/>
      <c r="K2147"/>
      <c r="P2147" s="27"/>
      <c r="Q2147" s="27"/>
      <c r="R2147" s="27"/>
    </row>
    <row r="2148" spans="1:18">
      <c r="A2148" s="28"/>
      <c r="B2148" s="29"/>
      <c r="C2148" s="29"/>
      <c r="D2148" s="29"/>
      <c r="E2148" s="29"/>
      <c r="H2148" s="27"/>
      <c r="K2148"/>
      <c r="P2148" s="27"/>
      <c r="Q2148" s="27"/>
      <c r="R2148" s="27"/>
    </row>
    <row r="2149" spans="1:18">
      <c r="A2149" s="28"/>
      <c r="B2149" s="29"/>
      <c r="C2149" s="29"/>
      <c r="D2149" s="29"/>
      <c r="E2149" s="29"/>
      <c r="H2149" s="27"/>
      <c r="K2149"/>
      <c r="P2149" s="27"/>
      <c r="Q2149" s="27"/>
      <c r="R2149" s="27"/>
    </row>
    <row r="2150" spans="1:18">
      <c r="A2150" s="28"/>
      <c r="B2150" s="29"/>
      <c r="C2150" s="29"/>
      <c r="D2150" s="29"/>
      <c r="E2150" s="29"/>
      <c r="H2150" s="27"/>
      <c r="K2150"/>
      <c r="P2150" s="27"/>
      <c r="Q2150" s="27"/>
      <c r="R2150" s="27"/>
    </row>
    <row r="2151" spans="1:18">
      <c r="A2151" s="28"/>
      <c r="B2151" s="29"/>
      <c r="C2151" s="29"/>
      <c r="D2151" s="29"/>
      <c r="E2151" s="29"/>
      <c r="H2151" s="27"/>
      <c r="K2151"/>
      <c r="P2151" s="27"/>
      <c r="Q2151" s="27"/>
      <c r="R2151" s="27"/>
    </row>
    <row r="2152" spans="1:18">
      <c r="A2152" s="28"/>
      <c r="B2152" s="29"/>
      <c r="C2152" s="29"/>
      <c r="D2152" s="29"/>
      <c r="E2152" s="29"/>
      <c r="H2152" s="27"/>
      <c r="K2152"/>
      <c r="P2152" s="27"/>
      <c r="Q2152" s="27"/>
      <c r="R2152" s="27"/>
    </row>
    <row r="2153" spans="1:18">
      <c r="A2153" s="28"/>
      <c r="B2153" s="29"/>
      <c r="C2153" s="29"/>
      <c r="D2153" s="29"/>
      <c r="E2153" s="29"/>
      <c r="H2153" s="27"/>
      <c r="K2153"/>
      <c r="P2153" s="27"/>
      <c r="Q2153" s="27"/>
      <c r="R2153" s="27"/>
    </row>
    <row r="2154" spans="1:18">
      <c r="A2154" s="28"/>
      <c r="B2154" s="29"/>
      <c r="C2154" s="29"/>
      <c r="D2154" s="29"/>
      <c r="E2154" s="29"/>
      <c r="H2154" s="27"/>
      <c r="K2154"/>
      <c r="P2154" s="27"/>
      <c r="Q2154" s="27"/>
      <c r="R2154" s="27"/>
    </row>
    <row r="2155" spans="1:18">
      <c r="A2155" s="28"/>
      <c r="B2155" s="29"/>
      <c r="C2155" s="29"/>
      <c r="D2155" s="29"/>
      <c r="E2155" s="29"/>
      <c r="H2155" s="27"/>
      <c r="K2155"/>
      <c r="P2155" s="27"/>
      <c r="Q2155" s="27"/>
      <c r="R2155" s="27"/>
    </row>
    <row r="2156" spans="1:18">
      <c r="A2156" s="28"/>
      <c r="B2156" s="29"/>
      <c r="C2156" s="29"/>
      <c r="D2156" s="29"/>
      <c r="E2156" s="29"/>
      <c r="H2156" s="27"/>
      <c r="K2156"/>
      <c r="P2156" s="27"/>
      <c r="Q2156" s="27"/>
      <c r="R2156" s="27"/>
    </row>
    <row r="2157" spans="1:18">
      <c r="A2157" s="28"/>
      <c r="B2157" s="29"/>
      <c r="C2157" s="29"/>
      <c r="D2157" s="29"/>
      <c r="E2157" s="29"/>
      <c r="H2157" s="27"/>
      <c r="K2157"/>
      <c r="P2157" s="27"/>
      <c r="Q2157" s="27"/>
      <c r="R2157" s="27"/>
    </row>
    <row r="2158" spans="1:18">
      <c r="A2158" s="28"/>
      <c r="B2158" s="29"/>
      <c r="C2158" s="29"/>
      <c r="D2158" s="29"/>
      <c r="E2158" s="29"/>
      <c r="H2158" s="27"/>
      <c r="K2158"/>
      <c r="P2158" s="27"/>
      <c r="Q2158" s="27"/>
      <c r="R2158" s="27"/>
    </row>
    <row r="2159" spans="1:18">
      <c r="A2159" s="28"/>
      <c r="B2159" s="29"/>
      <c r="C2159" s="29"/>
      <c r="D2159" s="29"/>
      <c r="E2159" s="29"/>
      <c r="H2159" s="27"/>
      <c r="K2159"/>
      <c r="P2159" s="27"/>
      <c r="Q2159" s="27"/>
      <c r="R2159" s="27"/>
    </row>
    <row r="2160" spans="1:18">
      <c r="A2160" s="28"/>
      <c r="B2160" s="29"/>
      <c r="C2160" s="29"/>
      <c r="D2160" s="29"/>
      <c r="E2160" s="29"/>
      <c r="H2160" s="27"/>
      <c r="K2160"/>
      <c r="P2160" s="27"/>
      <c r="Q2160" s="27"/>
      <c r="R2160" s="27"/>
    </row>
    <row r="2161" spans="1:18">
      <c r="A2161" s="28"/>
      <c r="B2161" s="29"/>
      <c r="C2161" s="29"/>
      <c r="D2161" s="29"/>
      <c r="E2161" s="29"/>
      <c r="H2161" s="27"/>
      <c r="K2161"/>
      <c r="P2161" s="27"/>
      <c r="Q2161" s="27"/>
      <c r="R2161" s="27"/>
    </row>
    <row r="2162" spans="1:18">
      <c r="A2162" s="28"/>
      <c r="B2162" s="29"/>
      <c r="C2162" s="29"/>
      <c r="D2162" s="29"/>
      <c r="E2162" s="29"/>
      <c r="H2162" s="27"/>
      <c r="K2162"/>
      <c r="P2162" s="27"/>
      <c r="Q2162" s="27"/>
      <c r="R2162" s="27"/>
    </row>
    <row r="2163" spans="1:18">
      <c r="A2163" s="28"/>
      <c r="B2163" s="29"/>
      <c r="C2163" s="29"/>
      <c r="D2163" s="29"/>
      <c r="E2163" s="29"/>
      <c r="H2163" s="27"/>
      <c r="K2163"/>
      <c r="P2163" s="27"/>
      <c r="Q2163" s="27"/>
      <c r="R2163" s="27"/>
    </row>
    <row r="2164" spans="1:18">
      <c r="A2164" s="28"/>
      <c r="B2164" s="29"/>
      <c r="C2164" s="29"/>
      <c r="D2164" s="29"/>
      <c r="E2164" s="29"/>
      <c r="H2164" s="27"/>
      <c r="K2164"/>
      <c r="P2164" s="27"/>
      <c r="Q2164" s="27"/>
      <c r="R2164" s="27"/>
    </row>
    <row r="2165" spans="1:18">
      <c r="A2165" s="28"/>
      <c r="B2165" s="29"/>
      <c r="C2165" s="29"/>
      <c r="D2165" s="29"/>
      <c r="E2165" s="29"/>
      <c r="H2165" s="27"/>
      <c r="K2165"/>
      <c r="P2165" s="27"/>
      <c r="Q2165" s="27"/>
      <c r="R2165" s="27"/>
    </row>
    <row r="2166" spans="1:18">
      <c r="A2166" s="28"/>
      <c r="B2166" s="29"/>
      <c r="C2166" s="29"/>
      <c r="D2166" s="29"/>
      <c r="E2166" s="29"/>
      <c r="H2166" s="27"/>
      <c r="K2166"/>
      <c r="P2166" s="27"/>
      <c r="Q2166" s="27"/>
      <c r="R2166" s="27"/>
    </row>
    <row r="2167" spans="1:18">
      <c r="A2167" s="28"/>
      <c r="B2167" s="29"/>
      <c r="C2167" s="29"/>
      <c r="D2167" s="29"/>
      <c r="E2167" s="29"/>
      <c r="H2167" s="27"/>
      <c r="K2167"/>
      <c r="P2167" s="27"/>
      <c r="Q2167" s="27"/>
      <c r="R2167" s="27"/>
    </row>
    <row r="2168" spans="1:18">
      <c r="A2168" s="28"/>
      <c r="B2168" s="29"/>
      <c r="C2168" s="29"/>
      <c r="D2168" s="29"/>
      <c r="E2168" s="29"/>
      <c r="H2168" s="27"/>
      <c r="K2168"/>
      <c r="P2168" s="27"/>
      <c r="Q2168" s="27"/>
      <c r="R2168" s="27"/>
    </row>
    <row r="2169" spans="1:18">
      <c r="A2169" s="28"/>
      <c r="B2169" s="29"/>
      <c r="C2169" s="29"/>
      <c r="D2169" s="29"/>
      <c r="E2169" s="29"/>
      <c r="H2169" s="27"/>
      <c r="K2169"/>
      <c r="P2169" s="27"/>
      <c r="Q2169" s="27"/>
      <c r="R2169" s="27"/>
    </row>
    <row r="2170" spans="1:18">
      <c r="A2170" s="28"/>
      <c r="B2170" s="29"/>
      <c r="C2170" s="29"/>
      <c r="D2170" s="29"/>
      <c r="E2170" s="29"/>
      <c r="H2170" s="27"/>
      <c r="K2170"/>
      <c r="P2170" s="27"/>
      <c r="Q2170" s="27"/>
      <c r="R2170" s="27"/>
    </row>
    <row r="2171" spans="1:18">
      <c r="A2171" s="28"/>
      <c r="B2171" s="29"/>
      <c r="C2171" s="29"/>
      <c r="D2171" s="29"/>
      <c r="E2171" s="29"/>
      <c r="H2171" s="27"/>
      <c r="K2171"/>
      <c r="P2171" s="27"/>
      <c r="Q2171" s="27"/>
      <c r="R2171" s="27"/>
    </row>
    <row r="2172" spans="1:18">
      <c r="A2172" s="28"/>
      <c r="B2172" s="29"/>
      <c r="C2172" s="29"/>
      <c r="D2172" s="29"/>
      <c r="E2172" s="29"/>
      <c r="H2172" s="27"/>
      <c r="K2172"/>
      <c r="P2172" s="27"/>
      <c r="Q2172" s="27"/>
      <c r="R2172" s="27"/>
    </row>
    <row r="2173" spans="1:18">
      <c r="A2173" s="28"/>
      <c r="B2173" s="29"/>
      <c r="C2173" s="29"/>
      <c r="D2173" s="29"/>
      <c r="E2173" s="29"/>
      <c r="H2173" s="27"/>
      <c r="K2173"/>
      <c r="P2173" s="27"/>
      <c r="Q2173" s="27"/>
      <c r="R2173" s="27"/>
    </row>
    <row r="2174" spans="1:18">
      <c r="A2174" s="28"/>
      <c r="B2174" s="29"/>
      <c r="C2174" s="29"/>
      <c r="D2174" s="29"/>
      <c r="E2174" s="29"/>
      <c r="H2174" s="27"/>
      <c r="K2174"/>
      <c r="P2174" s="27"/>
      <c r="Q2174" s="27"/>
      <c r="R2174" s="27"/>
    </row>
    <row r="2175" spans="1:18">
      <c r="A2175" s="28"/>
      <c r="B2175" s="29"/>
      <c r="C2175" s="29"/>
      <c r="D2175" s="29"/>
      <c r="E2175" s="29"/>
      <c r="H2175" s="27"/>
      <c r="K2175"/>
      <c r="P2175" s="27"/>
      <c r="Q2175" s="27"/>
      <c r="R2175" s="27"/>
    </row>
    <row r="2176" spans="1:18">
      <c r="A2176" s="28"/>
      <c r="B2176" s="29"/>
      <c r="C2176" s="29"/>
      <c r="D2176" s="29"/>
      <c r="E2176" s="29"/>
      <c r="H2176" s="27"/>
      <c r="K2176"/>
      <c r="P2176" s="27"/>
      <c r="Q2176" s="27"/>
      <c r="R2176" s="27"/>
    </row>
    <row r="2177" spans="1:18">
      <c r="A2177" s="28"/>
      <c r="B2177" s="29"/>
      <c r="C2177" s="29"/>
      <c r="D2177" s="29"/>
      <c r="E2177" s="29"/>
      <c r="H2177" s="27"/>
      <c r="K2177"/>
      <c r="P2177" s="27"/>
      <c r="Q2177" s="27"/>
      <c r="R2177" s="27"/>
    </row>
    <row r="2178" spans="1:18">
      <c r="A2178" s="28"/>
      <c r="B2178" s="29"/>
      <c r="C2178" s="29"/>
      <c r="D2178" s="29"/>
      <c r="E2178" s="29"/>
      <c r="H2178" s="27"/>
      <c r="K2178"/>
      <c r="P2178" s="27"/>
      <c r="Q2178" s="27"/>
      <c r="R2178" s="27"/>
    </row>
    <row r="2179" spans="1:18">
      <c r="A2179" s="28"/>
      <c r="B2179" s="29"/>
      <c r="C2179" s="29"/>
      <c r="D2179" s="29"/>
      <c r="E2179" s="29"/>
      <c r="H2179" s="27"/>
      <c r="K2179"/>
      <c r="P2179" s="27"/>
      <c r="Q2179" s="27"/>
      <c r="R2179" s="27"/>
    </row>
    <row r="2180" spans="1:18">
      <c r="A2180" s="28"/>
      <c r="B2180" s="29"/>
      <c r="C2180" s="29"/>
      <c r="D2180" s="29"/>
      <c r="E2180" s="29"/>
      <c r="H2180" s="27"/>
      <c r="K2180"/>
      <c r="P2180" s="27"/>
      <c r="Q2180" s="27"/>
      <c r="R2180" s="27"/>
    </row>
    <row r="2181" spans="1:18">
      <c r="A2181" s="28"/>
      <c r="B2181" s="29"/>
      <c r="C2181" s="29"/>
      <c r="D2181" s="29"/>
      <c r="E2181" s="29"/>
      <c r="H2181" s="27"/>
      <c r="K2181"/>
      <c r="P2181" s="27"/>
      <c r="Q2181" s="27"/>
      <c r="R2181" s="27"/>
    </row>
    <row r="2182" spans="1:18">
      <c r="A2182" s="28"/>
      <c r="B2182" s="29"/>
      <c r="C2182" s="29"/>
      <c r="D2182" s="29"/>
      <c r="E2182" s="29"/>
      <c r="H2182" s="27"/>
      <c r="K2182"/>
      <c r="P2182" s="27"/>
      <c r="Q2182" s="27"/>
      <c r="R2182" s="27"/>
    </row>
    <row r="2183" spans="1:18">
      <c r="A2183" s="28"/>
      <c r="B2183" s="29"/>
      <c r="C2183" s="29"/>
      <c r="D2183" s="29"/>
      <c r="E2183" s="29"/>
      <c r="H2183" s="27"/>
      <c r="K2183"/>
      <c r="P2183" s="27"/>
      <c r="Q2183" s="27"/>
      <c r="R2183" s="27"/>
    </row>
    <row r="2184" spans="1:18">
      <c r="A2184" s="28"/>
      <c r="B2184" s="29"/>
      <c r="C2184" s="29"/>
      <c r="D2184" s="29"/>
      <c r="E2184" s="29"/>
      <c r="H2184" s="27"/>
      <c r="K2184"/>
      <c r="P2184" s="27"/>
      <c r="Q2184" s="27"/>
      <c r="R2184" s="27"/>
    </row>
    <row r="2185" spans="1:18">
      <c r="A2185" s="28"/>
      <c r="B2185" s="29"/>
      <c r="C2185" s="29"/>
      <c r="D2185" s="29"/>
      <c r="E2185" s="29"/>
      <c r="H2185" s="27"/>
      <c r="K2185"/>
      <c r="P2185" s="27"/>
      <c r="Q2185" s="27"/>
      <c r="R2185" s="27"/>
    </row>
    <row r="2186" spans="1:18">
      <c r="A2186" s="28"/>
      <c r="B2186" s="29"/>
      <c r="C2186" s="29"/>
      <c r="D2186" s="29"/>
      <c r="E2186" s="29"/>
      <c r="H2186" s="27"/>
      <c r="K2186"/>
      <c r="P2186" s="27"/>
      <c r="Q2186" s="27"/>
      <c r="R2186" s="27"/>
    </row>
    <row r="2187" spans="1:18">
      <c r="A2187" s="28"/>
      <c r="B2187" s="29"/>
      <c r="C2187" s="29"/>
      <c r="D2187" s="29"/>
      <c r="E2187" s="29"/>
      <c r="H2187" s="27"/>
      <c r="K2187"/>
      <c r="P2187" s="27"/>
      <c r="Q2187" s="27"/>
      <c r="R2187" s="27"/>
    </row>
    <row r="2188" spans="1:18">
      <c r="A2188" s="28"/>
      <c r="B2188" s="29"/>
      <c r="C2188" s="29"/>
      <c r="D2188" s="29"/>
      <c r="E2188" s="29"/>
      <c r="H2188" s="27"/>
      <c r="K2188"/>
      <c r="P2188" s="27"/>
      <c r="Q2188" s="27"/>
      <c r="R2188" s="27"/>
    </row>
    <row r="2189" spans="1:18">
      <c r="A2189" s="28"/>
      <c r="B2189" s="29"/>
      <c r="C2189" s="29"/>
      <c r="D2189" s="29"/>
      <c r="E2189" s="29"/>
      <c r="H2189" s="27"/>
      <c r="K2189"/>
      <c r="P2189" s="27"/>
      <c r="Q2189" s="27"/>
      <c r="R2189" s="27"/>
    </row>
    <row r="2190" spans="1:18">
      <c r="A2190" s="28"/>
      <c r="B2190" s="29"/>
      <c r="C2190" s="29"/>
      <c r="D2190" s="29"/>
      <c r="E2190" s="29"/>
      <c r="H2190" s="27"/>
      <c r="K2190"/>
      <c r="P2190" s="27"/>
      <c r="Q2190" s="27"/>
      <c r="R2190" s="27"/>
    </row>
    <row r="2191" spans="1:18">
      <c r="A2191" s="28"/>
      <c r="B2191" s="29"/>
      <c r="C2191" s="29"/>
      <c r="D2191" s="29"/>
      <c r="E2191" s="29"/>
      <c r="H2191" s="27"/>
      <c r="K2191"/>
      <c r="P2191" s="27"/>
      <c r="Q2191" s="27"/>
      <c r="R2191" s="27"/>
    </row>
    <row r="2192" spans="1:18">
      <c r="A2192" s="28"/>
      <c r="B2192" s="29"/>
      <c r="C2192" s="29"/>
      <c r="D2192" s="29"/>
      <c r="E2192" s="29"/>
      <c r="H2192" s="27"/>
      <c r="K2192"/>
      <c r="P2192" s="27"/>
      <c r="Q2192" s="27"/>
      <c r="R2192" s="27"/>
    </row>
    <row r="2193" spans="1:18">
      <c r="A2193" s="28"/>
      <c r="B2193" s="29"/>
      <c r="C2193" s="29"/>
      <c r="D2193" s="29"/>
      <c r="E2193" s="29"/>
      <c r="H2193" s="27"/>
      <c r="K2193"/>
      <c r="P2193" s="27"/>
      <c r="Q2193" s="27"/>
      <c r="R2193" s="27"/>
    </row>
    <row r="2194" spans="1:18">
      <c r="A2194" s="28"/>
      <c r="B2194" s="29"/>
      <c r="C2194" s="29"/>
      <c r="D2194" s="29"/>
      <c r="E2194" s="29"/>
      <c r="H2194" s="27"/>
      <c r="K2194"/>
      <c r="P2194" s="27"/>
      <c r="Q2194" s="27"/>
      <c r="R2194" s="27"/>
    </row>
    <row r="2195" spans="1:18">
      <c r="A2195" s="28"/>
      <c r="B2195" s="29"/>
      <c r="C2195" s="29"/>
      <c r="D2195" s="29"/>
      <c r="E2195" s="29"/>
      <c r="H2195" s="27"/>
      <c r="K2195"/>
      <c r="P2195" s="27"/>
      <c r="Q2195" s="27"/>
      <c r="R2195" s="27"/>
    </row>
    <row r="2196" spans="1:18">
      <c r="A2196" s="28"/>
      <c r="B2196" s="29"/>
      <c r="C2196" s="29"/>
      <c r="D2196" s="29"/>
      <c r="E2196" s="29"/>
      <c r="H2196" s="27"/>
      <c r="K2196"/>
      <c r="P2196" s="27"/>
      <c r="Q2196" s="27"/>
      <c r="R2196" s="27"/>
    </row>
    <row r="2197" spans="1:18">
      <c r="A2197" s="28"/>
      <c r="B2197" s="29"/>
      <c r="C2197" s="29"/>
      <c r="D2197" s="29"/>
      <c r="E2197" s="29"/>
      <c r="H2197" s="27"/>
      <c r="K2197"/>
      <c r="P2197" s="27"/>
      <c r="Q2197" s="27"/>
      <c r="R2197" s="27"/>
    </row>
    <row r="2198" spans="1:18">
      <c r="A2198" s="28"/>
      <c r="B2198" s="29"/>
      <c r="C2198" s="29"/>
      <c r="D2198" s="29"/>
      <c r="E2198" s="29"/>
      <c r="H2198" s="27"/>
      <c r="K2198"/>
      <c r="P2198" s="27"/>
      <c r="Q2198" s="27"/>
      <c r="R2198" s="27"/>
    </row>
    <row r="2199" spans="1:18">
      <c r="A2199" s="28"/>
      <c r="B2199" s="29"/>
      <c r="C2199" s="29"/>
      <c r="D2199" s="29"/>
      <c r="E2199" s="29"/>
      <c r="H2199" s="27"/>
      <c r="K2199"/>
      <c r="P2199" s="27"/>
      <c r="Q2199" s="27"/>
      <c r="R2199" s="27"/>
    </row>
    <row r="2200" spans="1:18">
      <c r="A2200" s="28"/>
      <c r="B2200" s="29"/>
      <c r="C2200" s="29"/>
      <c r="D2200" s="29"/>
      <c r="E2200" s="29"/>
      <c r="H2200" s="27"/>
      <c r="K2200"/>
      <c r="P2200" s="27"/>
      <c r="Q2200" s="27"/>
      <c r="R2200" s="27"/>
    </row>
    <row r="2201" spans="1:18">
      <c r="A2201" s="28"/>
      <c r="B2201" s="29"/>
      <c r="C2201" s="29"/>
      <c r="D2201" s="29"/>
      <c r="E2201" s="29"/>
      <c r="H2201" s="27"/>
      <c r="K2201"/>
      <c r="P2201" s="27"/>
      <c r="Q2201" s="27"/>
      <c r="R2201" s="27"/>
    </row>
    <row r="2202" spans="1:18">
      <c r="A2202" s="28"/>
      <c r="B2202" s="29"/>
      <c r="C2202" s="29"/>
      <c r="D2202" s="29"/>
      <c r="E2202" s="29"/>
      <c r="H2202" s="27"/>
      <c r="K2202"/>
      <c r="P2202" s="27"/>
      <c r="Q2202" s="27"/>
      <c r="R2202" s="27"/>
    </row>
    <row r="2203" spans="1:18">
      <c r="A2203" s="28"/>
      <c r="B2203" s="29"/>
      <c r="C2203" s="29"/>
      <c r="D2203" s="29"/>
      <c r="E2203" s="29"/>
      <c r="H2203" s="27"/>
      <c r="K2203"/>
      <c r="P2203" s="27"/>
      <c r="Q2203" s="27"/>
      <c r="R2203" s="27"/>
    </row>
    <row r="2204" spans="1:18">
      <c r="A2204" s="28"/>
      <c r="B2204" s="29"/>
      <c r="C2204" s="29"/>
      <c r="D2204" s="29"/>
      <c r="E2204" s="29"/>
      <c r="H2204" s="27"/>
      <c r="K2204"/>
      <c r="P2204" s="27"/>
      <c r="Q2204" s="27"/>
      <c r="R2204" s="27"/>
    </row>
    <row r="2205" spans="1:18">
      <c r="A2205" s="28"/>
      <c r="B2205" s="29"/>
      <c r="C2205" s="29"/>
      <c r="D2205" s="29"/>
      <c r="E2205" s="29"/>
      <c r="H2205" s="27"/>
      <c r="K2205"/>
      <c r="P2205" s="27"/>
      <c r="Q2205" s="27"/>
      <c r="R2205" s="27"/>
    </row>
    <row r="2206" spans="1:18">
      <c r="A2206" s="28"/>
      <c r="B2206" s="29"/>
      <c r="C2206" s="29"/>
      <c r="D2206" s="29"/>
      <c r="E2206" s="29"/>
      <c r="H2206" s="27"/>
      <c r="K2206"/>
      <c r="P2206" s="27"/>
      <c r="Q2206" s="27"/>
      <c r="R2206" s="27"/>
    </row>
    <row r="2207" spans="1:18">
      <c r="A2207" s="28"/>
      <c r="B2207" s="29"/>
      <c r="C2207" s="29"/>
      <c r="D2207" s="29"/>
      <c r="E2207" s="29"/>
      <c r="H2207" s="27"/>
      <c r="K2207"/>
      <c r="P2207" s="27"/>
      <c r="Q2207" s="27"/>
      <c r="R2207" s="27"/>
    </row>
    <row r="2208" spans="1:18">
      <c r="A2208" s="28"/>
      <c r="B2208" s="29"/>
      <c r="C2208" s="29"/>
      <c r="D2208" s="29"/>
      <c r="E2208" s="29"/>
      <c r="H2208" s="27"/>
      <c r="K2208"/>
      <c r="P2208" s="27"/>
      <c r="Q2208" s="27"/>
      <c r="R2208" s="27"/>
    </row>
    <row r="2209" spans="1:18">
      <c r="A2209" s="28"/>
      <c r="B2209" s="29"/>
      <c r="C2209" s="29"/>
      <c r="D2209" s="29"/>
      <c r="E2209" s="29"/>
      <c r="H2209" s="27"/>
      <c r="K2209"/>
      <c r="P2209" s="27"/>
      <c r="Q2209" s="27"/>
      <c r="R2209" s="27"/>
    </row>
    <row r="2210" spans="1:18">
      <c r="A2210" s="28"/>
      <c r="B2210" s="29"/>
      <c r="C2210" s="29"/>
      <c r="D2210" s="29"/>
      <c r="E2210" s="29"/>
      <c r="H2210" s="27"/>
      <c r="K2210"/>
      <c r="P2210" s="27"/>
      <c r="Q2210" s="27"/>
      <c r="R2210" s="27"/>
    </row>
    <row r="2211" spans="1:18">
      <c r="A2211" s="28"/>
      <c r="B2211" s="29"/>
      <c r="C2211" s="29"/>
      <c r="D2211" s="29"/>
      <c r="E2211" s="29"/>
      <c r="H2211" s="27"/>
      <c r="K2211"/>
      <c r="P2211" s="27"/>
      <c r="Q2211" s="27"/>
      <c r="R2211" s="27"/>
    </row>
    <row r="2212" spans="1:18">
      <c r="A2212" s="28"/>
      <c r="B2212" s="29"/>
      <c r="C2212" s="29"/>
      <c r="D2212" s="29"/>
      <c r="E2212" s="29"/>
      <c r="H2212" s="27"/>
      <c r="K2212"/>
      <c r="P2212" s="27"/>
      <c r="Q2212" s="27"/>
      <c r="R2212" s="27"/>
    </row>
    <row r="2213" spans="1:18">
      <c r="A2213" s="28"/>
      <c r="B2213" s="29"/>
      <c r="C2213" s="29"/>
      <c r="D2213" s="29"/>
      <c r="E2213" s="29"/>
      <c r="H2213" s="27"/>
      <c r="K2213"/>
      <c r="P2213" s="27"/>
      <c r="Q2213" s="27"/>
      <c r="R2213" s="27"/>
    </row>
    <row r="2214" spans="1:18">
      <c r="A2214" s="28"/>
      <c r="B2214" s="29"/>
      <c r="C2214" s="29"/>
      <c r="D2214" s="29"/>
      <c r="E2214" s="29"/>
      <c r="H2214" s="27"/>
      <c r="K2214"/>
      <c r="P2214" s="27"/>
      <c r="Q2214" s="27"/>
      <c r="R2214" s="27"/>
    </row>
    <row r="2215" spans="1:18">
      <c r="A2215" s="28"/>
      <c r="B2215" s="29"/>
      <c r="C2215" s="29"/>
      <c r="D2215" s="29"/>
      <c r="E2215" s="29"/>
      <c r="H2215" s="27"/>
      <c r="K2215"/>
      <c r="P2215" s="27"/>
      <c r="Q2215" s="27"/>
      <c r="R2215" s="27"/>
    </row>
    <row r="2216" spans="1:18">
      <c r="A2216" s="28"/>
      <c r="B2216" s="29"/>
      <c r="C2216" s="29"/>
      <c r="D2216" s="29"/>
      <c r="E2216" s="29"/>
      <c r="H2216" s="27"/>
      <c r="K2216"/>
      <c r="P2216" s="27"/>
      <c r="Q2216" s="27"/>
      <c r="R2216" s="27"/>
    </row>
    <row r="2217" spans="1:18">
      <c r="A2217" s="28"/>
      <c r="B2217" s="29"/>
      <c r="C2217" s="29"/>
      <c r="D2217" s="29"/>
      <c r="E2217" s="29"/>
      <c r="H2217" s="27"/>
      <c r="K2217"/>
      <c r="P2217" s="27"/>
      <c r="Q2217" s="27"/>
      <c r="R2217" s="27"/>
    </row>
    <row r="2218" spans="1:18">
      <c r="A2218" s="28"/>
      <c r="B2218" s="29"/>
      <c r="C2218" s="29"/>
      <c r="D2218" s="29"/>
      <c r="E2218" s="29"/>
      <c r="H2218" s="27"/>
      <c r="K2218"/>
      <c r="P2218" s="27"/>
      <c r="Q2218" s="27"/>
      <c r="R2218" s="27"/>
    </row>
    <row r="2219" spans="1:18">
      <c r="A2219" s="28"/>
      <c r="B2219" s="29"/>
      <c r="C2219" s="29"/>
      <c r="D2219" s="29"/>
      <c r="E2219" s="29"/>
      <c r="H2219" s="27"/>
      <c r="K2219"/>
      <c r="P2219" s="27"/>
      <c r="Q2219" s="27"/>
      <c r="R2219" s="27"/>
    </row>
    <row r="2220" spans="1:18">
      <c r="A2220" s="28"/>
      <c r="B2220" s="29"/>
      <c r="C2220" s="29"/>
      <c r="D2220" s="29"/>
      <c r="E2220" s="29"/>
      <c r="H2220" s="27"/>
      <c r="K2220"/>
      <c r="P2220" s="27"/>
      <c r="Q2220" s="27"/>
      <c r="R2220" s="27"/>
    </row>
    <row r="2221" spans="1:18">
      <c r="A2221" s="28"/>
      <c r="B2221" s="29"/>
      <c r="C2221" s="29"/>
      <c r="D2221" s="29"/>
      <c r="E2221" s="29"/>
      <c r="H2221" s="27"/>
      <c r="K2221"/>
      <c r="P2221" s="27"/>
      <c r="Q2221" s="27"/>
      <c r="R2221" s="27"/>
    </row>
    <row r="2222" spans="1:18">
      <c r="A2222" s="28"/>
      <c r="B2222" s="29"/>
      <c r="C2222" s="29"/>
      <c r="D2222" s="29"/>
      <c r="E2222" s="29"/>
      <c r="H2222" s="27"/>
      <c r="K2222"/>
      <c r="P2222" s="27"/>
      <c r="Q2222" s="27"/>
      <c r="R2222" s="27"/>
    </row>
    <row r="2223" spans="1:18">
      <c r="A2223" s="28"/>
      <c r="B2223" s="29"/>
      <c r="C2223" s="29"/>
      <c r="D2223" s="29"/>
      <c r="E2223" s="29"/>
      <c r="H2223" s="27"/>
      <c r="K2223"/>
      <c r="P2223" s="27"/>
      <c r="Q2223" s="27"/>
      <c r="R2223" s="27"/>
    </row>
    <row r="2224" spans="1:18">
      <c r="A2224" s="28"/>
      <c r="B2224" s="29"/>
      <c r="C2224" s="29"/>
      <c r="D2224" s="29"/>
      <c r="E2224" s="29"/>
      <c r="H2224" s="27"/>
      <c r="K2224"/>
      <c r="P2224" s="27"/>
      <c r="Q2224" s="27"/>
      <c r="R2224" s="27"/>
    </row>
    <row r="2225" spans="1:18">
      <c r="A2225" s="28"/>
      <c r="B2225" s="29"/>
      <c r="C2225" s="29"/>
      <c r="D2225" s="29"/>
      <c r="E2225" s="29"/>
      <c r="H2225" s="27"/>
      <c r="K2225"/>
      <c r="P2225" s="27"/>
      <c r="Q2225" s="27"/>
      <c r="R2225" s="27"/>
    </row>
    <row r="2226" spans="1:18">
      <c r="A2226" s="28"/>
      <c r="B2226" s="29"/>
      <c r="C2226" s="29"/>
      <c r="D2226" s="29"/>
      <c r="E2226" s="29"/>
      <c r="H2226" s="27"/>
      <c r="K2226"/>
      <c r="P2226" s="27"/>
      <c r="Q2226" s="27"/>
      <c r="R2226" s="27"/>
    </row>
    <row r="2227" spans="1:18">
      <c r="A2227" s="28"/>
      <c r="B2227" s="29"/>
      <c r="C2227" s="29"/>
      <c r="D2227" s="29"/>
      <c r="E2227" s="29"/>
      <c r="H2227" s="27"/>
      <c r="K2227"/>
      <c r="P2227" s="27"/>
      <c r="Q2227" s="27"/>
      <c r="R2227" s="27"/>
    </row>
    <row r="2228" spans="1:18">
      <c r="A2228" s="28"/>
      <c r="B2228" s="29"/>
      <c r="C2228" s="29"/>
      <c r="D2228" s="29"/>
      <c r="E2228" s="29"/>
      <c r="H2228" s="27"/>
      <c r="K2228"/>
      <c r="P2228" s="27"/>
      <c r="Q2228" s="27"/>
      <c r="R2228" s="27"/>
    </row>
    <row r="2229" spans="1:18">
      <c r="A2229" s="28"/>
      <c r="B2229" s="29"/>
      <c r="C2229" s="29"/>
      <c r="D2229" s="29"/>
      <c r="E2229" s="29"/>
      <c r="H2229" s="27"/>
      <c r="K2229"/>
      <c r="P2229" s="27"/>
      <c r="Q2229" s="27"/>
      <c r="R2229" s="27"/>
    </row>
    <row r="2230" spans="1:18">
      <c r="A2230" s="28"/>
      <c r="B2230" s="29"/>
      <c r="C2230" s="29"/>
      <c r="D2230" s="29"/>
      <c r="E2230" s="29"/>
      <c r="H2230" s="27"/>
      <c r="K2230"/>
      <c r="P2230" s="27"/>
      <c r="Q2230" s="27"/>
      <c r="R2230" s="27"/>
    </row>
    <row r="2231" spans="1:18">
      <c r="A2231" s="28"/>
      <c r="B2231" s="29"/>
      <c r="C2231" s="29"/>
      <c r="D2231" s="29"/>
      <c r="E2231" s="29"/>
      <c r="H2231" s="27"/>
      <c r="K2231"/>
      <c r="P2231" s="27"/>
      <c r="Q2231" s="27"/>
      <c r="R2231" s="27"/>
    </row>
    <row r="2232" spans="1:18">
      <c r="A2232" s="28"/>
      <c r="B2232" s="29"/>
      <c r="C2232" s="29"/>
      <c r="D2232" s="29"/>
      <c r="E2232" s="29"/>
      <c r="H2232" s="27"/>
      <c r="K2232"/>
      <c r="P2232" s="27"/>
      <c r="Q2232" s="27"/>
      <c r="R2232" s="27"/>
    </row>
    <row r="2233" spans="1:18">
      <c r="A2233" s="28"/>
      <c r="B2233" s="29"/>
      <c r="C2233" s="29"/>
      <c r="D2233" s="29"/>
      <c r="E2233" s="29"/>
      <c r="H2233" s="27"/>
      <c r="K2233"/>
      <c r="P2233" s="27"/>
      <c r="Q2233" s="27"/>
      <c r="R2233" s="27"/>
    </row>
    <row r="2234" spans="1:18">
      <c r="A2234" s="28"/>
      <c r="B2234" s="29"/>
      <c r="C2234" s="29"/>
      <c r="D2234" s="29"/>
      <c r="E2234" s="29"/>
      <c r="H2234" s="27"/>
      <c r="K2234"/>
      <c r="P2234" s="27"/>
      <c r="Q2234" s="27"/>
      <c r="R2234" s="27"/>
    </row>
    <row r="2235" spans="1:18">
      <c r="A2235" s="28"/>
      <c r="B2235" s="29"/>
      <c r="C2235" s="29"/>
      <c r="D2235" s="29"/>
      <c r="E2235" s="29"/>
      <c r="H2235" s="27"/>
      <c r="K2235"/>
      <c r="P2235" s="27"/>
      <c r="Q2235" s="27"/>
      <c r="R2235" s="27"/>
    </row>
    <row r="2236" spans="1:18">
      <c r="A2236" s="28"/>
      <c r="B2236" s="29"/>
      <c r="C2236" s="29"/>
      <c r="D2236" s="29"/>
      <c r="E2236" s="29"/>
      <c r="H2236" s="27"/>
      <c r="K2236"/>
      <c r="P2236" s="27"/>
      <c r="Q2236" s="27"/>
      <c r="R2236" s="27"/>
    </row>
    <row r="2237" spans="1:18">
      <c r="A2237" s="28"/>
      <c r="B2237" s="29"/>
      <c r="C2237" s="29"/>
      <c r="D2237" s="29"/>
      <c r="E2237" s="29"/>
      <c r="H2237" s="27"/>
      <c r="K2237"/>
      <c r="P2237" s="27"/>
      <c r="Q2237" s="27"/>
      <c r="R2237" s="27"/>
    </row>
    <row r="2238" spans="1:18">
      <c r="A2238" s="28"/>
      <c r="B2238" s="29"/>
      <c r="C2238" s="29"/>
      <c r="D2238" s="29"/>
      <c r="E2238" s="29"/>
      <c r="H2238" s="27"/>
      <c r="K2238"/>
      <c r="P2238" s="27"/>
      <c r="Q2238" s="27"/>
      <c r="R2238" s="27"/>
    </row>
    <row r="2239" spans="1:18">
      <c r="A2239" s="28"/>
      <c r="B2239" s="29"/>
      <c r="C2239" s="29"/>
      <c r="D2239" s="29"/>
      <c r="E2239" s="29"/>
      <c r="H2239" s="27"/>
      <c r="K2239"/>
      <c r="P2239" s="27"/>
      <c r="Q2239" s="27"/>
      <c r="R2239" s="27"/>
    </row>
    <row r="2240" spans="1:18">
      <c r="A2240" s="28"/>
      <c r="B2240" s="29"/>
      <c r="C2240" s="29"/>
      <c r="D2240" s="29"/>
      <c r="E2240" s="29"/>
      <c r="H2240" s="27"/>
      <c r="K2240"/>
      <c r="P2240" s="27"/>
      <c r="Q2240" s="27"/>
      <c r="R2240" s="27"/>
    </row>
    <row r="2241" spans="1:18">
      <c r="A2241" s="28"/>
      <c r="B2241" s="29"/>
      <c r="C2241" s="29"/>
      <c r="D2241" s="29"/>
      <c r="E2241" s="29"/>
      <c r="H2241" s="27"/>
      <c r="K2241"/>
      <c r="P2241" s="27"/>
      <c r="Q2241" s="27"/>
      <c r="R2241" s="27"/>
    </row>
    <row r="2242" spans="1:18">
      <c r="A2242" s="28"/>
      <c r="B2242" s="29"/>
      <c r="C2242" s="29"/>
      <c r="D2242" s="29"/>
      <c r="E2242" s="29"/>
      <c r="H2242" s="27"/>
      <c r="K2242"/>
      <c r="P2242" s="27"/>
      <c r="Q2242" s="27"/>
      <c r="R2242" s="27"/>
    </row>
    <row r="2243" spans="1:18">
      <c r="A2243" s="28"/>
      <c r="B2243" s="29"/>
      <c r="C2243" s="29"/>
      <c r="D2243" s="29"/>
      <c r="E2243" s="29"/>
      <c r="H2243" s="27"/>
      <c r="K2243"/>
      <c r="P2243" s="27"/>
      <c r="Q2243" s="27"/>
      <c r="R2243" s="27"/>
    </row>
    <row r="2244" spans="1:18">
      <c r="A2244" s="28"/>
      <c r="B2244" s="29"/>
      <c r="C2244" s="29"/>
      <c r="D2244" s="29"/>
      <c r="E2244" s="29"/>
      <c r="H2244" s="27"/>
      <c r="K2244"/>
      <c r="P2244" s="27"/>
      <c r="Q2244" s="27"/>
      <c r="R2244" s="27"/>
    </row>
    <row r="2245" spans="1:18">
      <c r="A2245" s="28"/>
      <c r="B2245" s="29"/>
      <c r="C2245" s="29"/>
      <c r="D2245" s="29"/>
      <c r="E2245" s="29"/>
      <c r="H2245" s="27"/>
      <c r="K2245"/>
      <c r="P2245" s="27"/>
      <c r="Q2245" s="27"/>
      <c r="R2245" s="27"/>
    </row>
    <row r="2246" spans="1:18">
      <c r="A2246" s="28"/>
      <c r="B2246" s="29"/>
      <c r="C2246" s="29"/>
      <c r="D2246" s="29"/>
      <c r="E2246" s="29"/>
      <c r="H2246" s="27"/>
      <c r="K2246"/>
      <c r="P2246" s="27"/>
      <c r="Q2246" s="27"/>
      <c r="R2246" s="27"/>
    </row>
    <row r="2247" spans="1:18">
      <c r="A2247" s="28"/>
      <c r="B2247" s="29"/>
      <c r="C2247" s="29"/>
      <c r="D2247" s="29"/>
      <c r="E2247" s="29"/>
      <c r="H2247" s="27"/>
      <c r="K2247"/>
      <c r="P2247" s="27"/>
      <c r="Q2247" s="27"/>
      <c r="R2247" s="27"/>
    </row>
    <row r="2248" spans="1:18">
      <c r="A2248" s="28"/>
      <c r="B2248" s="29"/>
      <c r="C2248" s="29"/>
      <c r="D2248" s="29"/>
      <c r="E2248" s="29"/>
      <c r="H2248" s="27"/>
      <c r="K2248"/>
      <c r="P2248" s="27"/>
      <c r="Q2248" s="27"/>
      <c r="R2248" s="27"/>
    </row>
    <row r="2249" spans="1:18">
      <c r="A2249" s="28"/>
      <c r="B2249" s="29"/>
      <c r="C2249" s="29"/>
      <c r="D2249" s="29"/>
      <c r="E2249" s="29"/>
      <c r="H2249" s="27"/>
      <c r="K2249"/>
      <c r="P2249" s="27"/>
      <c r="Q2249" s="27"/>
      <c r="R2249" s="27"/>
    </row>
    <row r="2250" spans="1:18">
      <c r="A2250" s="28"/>
      <c r="B2250" s="29"/>
      <c r="C2250" s="29"/>
      <c r="D2250" s="29"/>
      <c r="E2250" s="29"/>
      <c r="H2250" s="27"/>
      <c r="K2250"/>
      <c r="P2250" s="27"/>
      <c r="Q2250" s="27"/>
      <c r="R2250" s="27"/>
    </row>
    <row r="2251" spans="1:18">
      <c r="A2251" s="28"/>
      <c r="B2251" s="29"/>
      <c r="C2251" s="29"/>
      <c r="D2251" s="29"/>
      <c r="E2251" s="29"/>
      <c r="H2251" s="27"/>
      <c r="K2251"/>
      <c r="P2251" s="27"/>
      <c r="Q2251" s="27"/>
      <c r="R2251" s="27"/>
    </row>
    <row r="2252" spans="1:18">
      <c r="A2252" s="28"/>
      <c r="B2252" s="29"/>
      <c r="C2252" s="29"/>
      <c r="D2252" s="29"/>
      <c r="E2252" s="29"/>
      <c r="H2252" s="27"/>
      <c r="K2252"/>
      <c r="P2252" s="27"/>
      <c r="Q2252" s="27"/>
      <c r="R2252" s="27"/>
    </row>
    <row r="2253" spans="1:18">
      <c r="A2253" s="28"/>
      <c r="B2253" s="29"/>
      <c r="C2253" s="29"/>
      <c r="D2253" s="29"/>
      <c r="E2253" s="29"/>
      <c r="H2253" s="27"/>
      <c r="K2253"/>
      <c r="P2253" s="27"/>
      <c r="Q2253" s="27"/>
      <c r="R2253" s="27"/>
    </row>
    <row r="2254" spans="1:18">
      <c r="A2254" s="28"/>
      <c r="B2254" s="29"/>
      <c r="C2254" s="29"/>
      <c r="D2254" s="29"/>
      <c r="E2254" s="29"/>
      <c r="H2254" s="27"/>
      <c r="K2254"/>
      <c r="P2254" s="27"/>
      <c r="Q2254" s="27"/>
      <c r="R2254" s="27"/>
    </row>
    <row r="2255" spans="1:18">
      <c r="A2255" s="28"/>
      <c r="B2255" s="29"/>
      <c r="C2255" s="29"/>
      <c r="D2255" s="29"/>
      <c r="E2255" s="29"/>
      <c r="H2255" s="27"/>
      <c r="K2255"/>
      <c r="P2255" s="27"/>
      <c r="Q2255" s="27"/>
      <c r="R2255" s="27"/>
    </row>
    <row r="2256" spans="1:18">
      <c r="A2256" s="28"/>
      <c r="B2256" s="29"/>
      <c r="C2256" s="29"/>
      <c r="D2256" s="29"/>
      <c r="E2256" s="29"/>
      <c r="H2256" s="27"/>
      <c r="K2256"/>
      <c r="P2256" s="27"/>
      <c r="Q2256" s="27"/>
      <c r="R2256" s="27"/>
    </row>
    <row r="2257" spans="1:18">
      <c r="A2257" s="28"/>
      <c r="B2257" s="29"/>
      <c r="C2257" s="29"/>
      <c r="D2257" s="29"/>
      <c r="E2257" s="29"/>
      <c r="H2257" s="27"/>
      <c r="K2257"/>
      <c r="P2257" s="27"/>
      <c r="Q2257" s="27"/>
      <c r="R2257" s="27"/>
    </row>
    <row r="2258" spans="1:18">
      <c r="A2258" s="28"/>
      <c r="B2258" s="29"/>
      <c r="C2258" s="29"/>
      <c r="D2258" s="29"/>
      <c r="E2258" s="29"/>
      <c r="H2258" s="27"/>
      <c r="K2258"/>
      <c r="P2258" s="27"/>
      <c r="Q2258" s="27"/>
      <c r="R2258" s="27"/>
    </row>
    <row r="2259" spans="1:18">
      <c r="A2259" s="28"/>
      <c r="B2259" s="29"/>
      <c r="C2259" s="29"/>
      <c r="D2259" s="29"/>
      <c r="E2259" s="29"/>
      <c r="H2259" s="27"/>
      <c r="K2259"/>
      <c r="P2259" s="27"/>
      <c r="Q2259" s="27"/>
      <c r="R2259" s="27"/>
    </row>
    <row r="2260" spans="1:18">
      <c r="A2260" s="28"/>
      <c r="B2260" s="29"/>
      <c r="C2260" s="29"/>
      <c r="D2260" s="29"/>
      <c r="E2260" s="29"/>
      <c r="H2260" s="27"/>
      <c r="K2260"/>
      <c r="P2260" s="27"/>
      <c r="Q2260" s="27"/>
      <c r="R2260" s="27"/>
    </row>
    <row r="2261" spans="1:18">
      <c r="A2261" s="28"/>
      <c r="B2261" s="29"/>
      <c r="C2261" s="29"/>
      <c r="D2261" s="29"/>
      <c r="E2261" s="29"/>
      <c r="H2261" s="27"/>
      <c r="K2261"/>
      <c r="P2261" s="27"/>
      <c r="Q2261" s="27"/>
      <c r="R2261" s="27"/>
    </row>
    <row r="2262" spans="1:18">
      <c r="A2262" s="28"/>
      <c r="B2262" s="29"/>
      <c r="C2262" s="29"/>
      <c r="D2262" s="29"/>
      <c r="E2262" s="29"/>
      <c r="H2262" s="27"/>
      <c r="K2262"/>
      <c r="P2262" s="27"/>
      <c r="Q2262" s="27"/>
      <c r="R2262" s="27"/>
    </row>
    <row r="2263" spans="1:18">
      <c r="A2263" s="28"/>
      <c r="B2263" s="29"/>
      <c r="C2263" s="29"/>
      <c r="D2263" s="29"/>
      <c r="E2263" s="29"/>
      <c r="H2263" s="27"/>
      <c r="K2263"/>
      <c r="P2263" s="27"/>
      <c r="Q2263" s="27"/>
      <c r="R2263" s="27"/>
    </row>
    <row r="2264" spans="1:18">
      <c r="A2264" s="28"/>
      <c r="B2264" s="29"/>
      <c r="C2264" s="29"/>
      <c r="D2264" s="29"/>
      <c r="E2264" s="29"/>
      <c r="H2264" s="27"/>
      <c r="K2264"/>
      <c r="P2264" s="27"/>
      <c r="Q2264" s="27"/>
      <c r="R2264" s="27"/>
    </row>
    <row r="2265" spans="1:18">
      <c r="A2265" s="28"/>
      <c r="B2265" s="29"/>
      <c r="C2265" s="29"/>
      <c r="D2265" s="29"/>
      <c r="E2265" s="29"/>
      <c r="H2265" s="27"/>
      <c r="K2265"/>
      <c r="P2265" s="27"/>
      <c r="Q2265" s="27"/>
      <c r="R2265" s="27"/>
    </row>
    <row r="2266" spans="1:18">
      <c r="A2266" s="28"/>
      <c r="B2266" s="29"/>
      <c r="C2266" s="29"/>
      <c r="D2266" s="29"/>
      <c r="E2266" s="29"/>
      <c r="H2266" s="27"/>
      <c r="K2266"/>
      <c r="P2266" s="27"/>
      <c r="Q2266" s="27"/>
      <c r="R2266" s="27"/>
    </row>
    <row r="2267" spans="1:18">
      <c r="A2267" s="28"/>
      <c r="B2267" s="29"/>
      <c r="C2267" s="29"/>
      <c r="D2267" s="29"/>
      <c r="E2267" s="29"/>
      <c r="H2267" s="27"/>
      <c r="K2267"/>
      <c r="P2267" s="27"/>
      <c r="Q2267" s="27"/>
      <c r="R2267" s="27"/>
    </row>
    <row r="2268" spans="1:18">
      <c r="A2268" s="28"/>
      <c r="B2268" s="29"/>
      <c r="C2268" s="29"/>
      <c r="D2268" s="29"/>
      <c r="E2268" s="29"/>
      <c r="H2268" s="27"/>
      <c r="K2268"/>
      <c r="P2268" s="27"/>
      <c r="Q2268" s="27"/>
      <c r="R2268" s="27"/>
    </row>
    <row r="2269" spans="1:18">
      <c r="A2269" s="28"/>
      <c r="B2269" s="29"/>
      <c r="C2269" s="29"/>
      <c r="D2269" s="29"/>
      <c r="E2269" s="29"/>
      <c r="H2269" s="27"/>
      <c r="K2269"/>
      <c r="P2269" s="27"/>
      <c r="Q2269" s="27"/>
      <c r="R2269" s="27"/>
    </row>
    <row r="2270" spans="1:18">
      <c r="A2270" s="28"/>
      <c r="B2270" s="29"/>
      <c r="C2270" s="29"/>
      <c r="D2270" s="29"/>
      <c r="E2270" s="29"/>
      <c r="H2270" s="27"/>
      <c r="K2270"/>
      <c r="P2270" s="27"/>
      <c r="Q2270" s="27"/>
      <c r="R2270" s="27"/>
    </row>
    <row r="2271" spans="1:18">
      <c r="A2271" s="28"/>
      <c r="B2271" s="29"/>
      <c r="C2271" s="29"/>
      <c r="D2271" s="29"/>
      <c r="E2271" s="29"/>
      <c r="H2271" s="27"/>
      <c r="K2271"/>
      <c r="P2271" s="27"/>
      <c r="Q2271" s="27"/>
      <c r="R2271" s="27"/>
    </row>
    <row r="2272" spans="1:18">
      <c r="A2272" s="28"/>
      <c r="B2272" s="29"/>
      <c r="C2272" s="29"/>
      <c r="D2272" s="29"/>
      <c r="E2272" s="29"/>
      <c r="H2272" s="27"/>
      <c r="K2272"/>
      <c r="P2272" s="27"/>
      <c r="Q2272" s="27"/>
      <c r="R2272" s="27"/>
    </row>
    <row r="2273" spans="1:18">
      <c r="A2273" s="28"/>
      <c r="B2273" s="29"/>
      <c r="C2273" s="29"/>
      <c r="D2273" s="29"/>
      <c r="E2273" s="29"/>
      <c r="H2273" s="27"/>
      <c r="K2273"/>
      <c r="P2273" s="27"/>
      <c r="Q2273" s="27"/>
      <c r="R2273" s="27"/>
    </row>
    <row r="2274" spans="1:18">
      <c r="A2274" s="28"/>
      <c r="B2274" s="29"/>
      <c r="C2274" s="29"/>
      <c r="D2274" s="29"/>
      <c r="E2274" s="29"/>
      <c r="H2274" s="27"/>
      <c r="K2274"/>
      <c r="P2274" s="27"/>
      <c r="Q2274" s="27"/>
      <c r="R2274" s="27"/>
    </row>
    <row r="2275" spans="1:18">
      <c r="A2275" s="28"/>
      <c r="B2275" s="29"/>
      <c r="C2275" s="29"/>
      <c r="D2275" s="29"/>
      <c r="E2275" s="29"/>
      <c r="H2275" s="27"/>
      <c r="K2275"/>
      <c r="P2275" s="27"/>
      <c r="Q2275" s="27"/>
      <c r="R2275" s="27"/>
    </row>
    <row r="2276" spans="1:18">
      <c r="A2276" s="28"/>
      <c r="B2276" s="29"/>
      <c r="C2276" s="29"/>
      <c r="D2276" s="29"/>
      <c r="E2276" s="29"/>
      <c r="H2276" s="27"/>
      <c r="K2276"/>
      <c r="P2276" s="27"/>
      <c r="Q2276" s="27"/>
      <c r="R2276" s="27"/>
    </row>
    <row r="2277" spans="1:18">
      <c r="A2277" s="28"/>
      <c r="B2277" s="29"/>
      <c r="C2277" s="29"/>
      <c r="D2277" s="29"/>
      <c r="E2277" s="29"/>
      <c r="H2277" s="27"/>
      <c r="K2277"/>
      <c r="P2277" s="27"/>
      <c r="Q2277" s="27"/>
      <c r="R2277" s="27"/>
    </row>
    <row r="2278" spans="1:18">
      <c r="A2278" s="28"/>
      <c r="B2278" s="29"/>
      <c r="C2278" s="29"/>
      <c r="D2278" s="29"/>
      <c r="E2278" s="29"/>
      <c r="H2278" s="27"/>
      <c r="K2278"/>
      <c r="P2278" s="27"/>
      <c r="Q2278" s="27"/>
      <c r="R2278" s="27"/>
    </row>
    <row r="2279" spans="1:18">
      <c r="A2279" s="28"/>
      <c r="B2279" s="29"/>
      <c r="C2279" s="29"/>
      <c r="D2279" s="29"/>
      <c r="E2279" s="29"/>
      <c r="H2279" s="27"/>
      <c r="K2279"/>
      <c r="P2279" s="27"/>
      <c r="Q2279" s="27"/>
      <c r="R2279" s="27"/>
    </row>
    <row r="2280" spans="1:18">
      <c r="A2280" s="28"/>
      <c r="B2280" s="29"/>
      <c r="C2280" s="29"/>
      <c r="D2280" s="29"/>
      <c r="E2280" s="29"/>
      <c r="H2280" s="27"/>
      <c r="K2280"/>
      <c r="P2280" s="27"/>
      <c r="Q2280" s="27"/>
      <c r="R2280" s="27"/>
    </row>
    <row r="2281" spans="1:18">
      <c r="A2281" s="28"/>
      <c r="B2281" s="29"/>
      <c r="C2281" s="29"/>
      <c r="D2281" s="29"/>
      <c r="E2281" s="29"/>
      <c r="H2281" s="27"/>
      <c r="K2281"/>
      <c r="P2281" s="27"/>
      <c r="Q2281" s="27"/>
      <c r="R2281" s="27"/>
    </row>
    <row r="2282" spans="1:18">
      <c r="A2282" s="28"/>
      <c r="B2282" s="29"/>
      <c r="C2282" s="29"/>
      <c r="D2282" s="29"/>
      <c r="E2282" s="29"/>
      <c r="H2282" s="27"/>
      <c r="K2282"/>
      <c r="P2282" s="27"/>
      <c r="Q2282" s="27"/>
      <c r="R2282" s="27"/>
    </row>
    <row r="2283" spans="1:18">
      <c r="A2283" s="28"/>
      <c r="B2283" s="29"/>
      <c r="C2283" s="29"/>
      <c r="D2283" s="29"/>
      <c r="E2283" s="29"/>
      <c r="H2283" s="27"/>
      <c r="K2283"/>
      <c r="P2283" s="27"/>
      <c r="Q2283" s="27"/>
      <c r="R2283" s="27"/>
    </row>
    <row r="2284" spans="1:18">
      <c r="A2284" s="28"/>
      <c r="B2284" s="29"/>
      <c r="C2284" s="29"/>
      <c r="D2284" s="29"/>
      <c r="E2284" s="29"/>
      <c r="H2284" s="27"/>
      <c r="K2284"/>
      <c r="P2284" s="27"/>
      <c r="Q2284" s="27"/>
      <c r="R2284" s="27"/>
    </row>
    <row r="2285" spans="1:18">
      <c r="A2285" s="28"/>
      <c r="B2285" s="29"/>
      <c r="C2285" s="29"/>
      <c r="D2285" s="29"/>
      <c r="E2285" s="29"/>
      <c r="H2285" s="27"/>
      <c r="K2285"/>
      <c r="P2285" s="27"/>
      <c r="Q2285" s="27"/>
      <c r="R2285" s="27"/>
    </row>
    <row r="2286" spans="1:18">
      <c r="A2286" s="28"/>
      <c r="B2286" s="29"/>
      <c r="C2286" s="29"/>
      <c r="D2286" s="29"/>
      <c r="E2286" s="29"/>
      <c r="H2286" s="27"/>
      <c r="K2286"/>
      <c r="P2286" s="27"/>
      <c r="Q2286" s="27"/>
      <c r="R2286" s="27"/>
    </row>
    <row r="2287" spans="1:18">
      <c r="A2287" s="28"/>
      <c r="B2287" s="29"/>
      <c r="C2287" s="29"/>
      <c r="D2287" s="29"/>
      <c r="E2287" s="29"/>
      <c r="H2287" s="27"/>
      <c r="K2287"/>
      <c r="P2287" s="27"/>
      <c r="Q2287" s="27"/>
      <c r="R2287" s="27"/>
    </row>
    <row r="2288" spans="1:18">
      <c r="A2288" s="28"/>
      <c r="B2288" s="29"/>
      <c r="C2288" s="29"/>
      <c r="D2288" s="29"/>
      <c r="E2288" s="29"/>
      <c r="H2288" s="27"/>
      <c r="K2288"/>
      <c r="P2288" s="27"/>
      <c r="Q2288" s="27"/>
      <c r="R2288" s="27"/>
    </row>
    <row r="2289" spans="1:18">
      <c r="A2289" s="28"/>
      <c r="B2289" s="29"/>
      <c r="C2289" s="29"/>
      <c r="D2289" s="29"/>
      <c r="E2289" s="29"/>
      <c r="H2289" s="27"/>
      <c r="K2289"/>
      <c r="P2289" s="27"/>
      <c r="Q2289" s="27"/>
      <c r="R2289" s="27"/>
    </row>
    <row r="2290" spans="1:18">
      <c r="A2290" s="28"/>
      <c r="B2290" s="29"/>
      <c r="C2290" s="29"/>
      <c r="D2290" s="29"/>
      <c r="E2290" s="29"/>
      <c r="H2290" s="27"/>
      <c r="K2290"/>
      <c r="P2290" s="27"/>
      <c r="Q2290" s="27"/>
      <c r="R2290" s="27"/>
    </row>
    <row r="2291" spans="1:18">
      <c r="A2291" s="28"/>
      <c r="B2291" s="29"/>
      <c r="C2291" s="29"/>
      <c r="D2291" s="29"/>
      <c r="E2291" s="29"/>
      <c r="H2291" s="27"/>
      <c r="K2291"/>
      <c r="P2291" s="27"/>
      <c r="Q2291" s="27"/>
      <c r="R2291" s="27"/>
    </row>
    <row r="2292" spans="1:18">
      <c r="A2292" s="28"/>
      <c r="B2292" s="29"/>
      <c r="C2292" s="29"/>
      <c r="D2292" s="29"/>
      <c r="E2292" s="29"/>
      <c r="H2292" s="27"/>
      <c r="K2292"/>
      <c r="P2292" s="27"/>
      <c r="Q2292" s="27"/>
      <c r="R2292" s="27"/>
    </row>
    <row r="2293" spans="1:18">
      <c r="A2293" s="28"/>
      <c r="B2293" s="29"/>
      <c r="C2293" s="29"/>
      <c r="D2293" s="29"/>
      <c r="E2293" s="29"/>
      <c r="H2293" s="27"/>
      <c r="K2293"/>
      <c r="P2293" s="27"/>
      <c r="Q2293" s="27"/>
      <c r="R2293" s="27"/>
    </row>
    <row r="2294" spans="1:18">
      <c r="A2294" s="28"/>
      <c r="B2294" s="29"/>
      <c r="C2294" s="29"/>
      <c r="D2294" s="29"/>
      <c r="E2294" s="29"/>
      <c r="H2294" s="27"/>
      <c r="K2294"/>
      <c r="P2294" s="27"/>
      <c r="Q2294" s="27"/>
      <c r="R2294" s="27"/>
    </row>
    <row r="2295" spans="1:18">
      <c r="A2295" s="28"/>
      <c r="B2295" s="29"/>
      <c r="C2295" s="29"/>
      <c r="D2295" s="29"/>
      <c r="E2295" s="29"/>
      <c r="H2295" s="27"/>
      <c r="K2295"/>
      <c r="P2295" s="27"/>
      <c r="Q2295" s="27"/>
      <c r="R2295" s="27"/>
    </row>
    <row r="2296" spans="1:18">
      <c r="A2296" s="28"/>
      <c r="B2296" s="29"/>
      <c r="C2296" s="29"/>
      <c r="D2296" s="29"/>
      <c r="E2296" s="29"/>
      <c r="H2296" s="27"/>
      <c r="K2296"/>
      <c r="P2296" s="27"/>
      <c r="Q2296" s="27"/>
      <c r="R2296" s="27"/>
    </row>
    <row r="2297" spans="1:18">
      <c r="A2297" s="28"/>
      <c r="B2297" s="29"/>
      <c r="C2297" s="29"/>
      <c r="D2297" s="29"/>
      <c r="E2297" s="29"/>
      <c r="H2297" s="27"/>
      <c r="K2297"/>
      <c r="P2297" s="27"/>
      <c r="Q2297" s="27"/>
      <c r="R2297" s="27"/>
    </row>
    <row r="2298" spans="1:18">
      <c r="A2298" s="28"/>
      <c r="B2298" s="29"/>
      <c r="C2298" s="29"/>
      <c r="D2298" s="29"/>
      <c r="E2298" s="29"/>
      <c r="H2298" s="27"/>
      <c r="K2298"/>
      <c r="P2298" s="27"/>
      <c r="Q2298" s="27"/>
      <c r="R2298" s="27"/>
    </row>
    <row r="2299" spans="1:18">
      <c r="A2299" s="28"/>
      <c r="B2299" s="29"/>
      <c r="C2299" s="29"/>
      <c r="D2299" s="29"/>
      <c r="E2299" s="29"/>
      <c r="H2299" s="27"/>
      <c r="K2299"/>
      <c r="P2299" s="27"/>
      <c r="Q2299" s="27"/>
      <c r="R2299" s="27"/>
    </row>
    <row r="2300" spans="1:18">
      <c r="A2300" s="28"/>
      <c r="B2300" s="29"/>
      <c r="C2300" s="29"/>
      <c r="D2300" s="29"/>
      <c r="E2300" s="29"/>
      <c r="H2300" s="27"/>
      <c r="K2300"/>
      <c r="P2300" s="27"/>
      <c r="Q2300" s="27"/>
      <c r="R2300" s="27"/>
    </row>
    <row r="2301" spans="1:18">
      <c r="A2301" s="28"/>
      <c r="B2301" s="29"/>
      <c r="C2301" s="29"/>
      <c r="D2301" s="29"/>
      <c r="E2301" s="29"/>
      <c r="H2301" s="27"/>
      <c r="K2301"/>
      <c r="P2301" s="27"/>
      <c r="Q2301" s="27"/>
      <c r="R2301" s="27"/>
    </row>
    <row r="2302" spans="1:18">
      <c r="A2302" s="28"/>
      <c r="B2302" s="29"/>
      <c r="C2302" s="29"/>
      <c r="D2302" s="29"/>
      <c r="E2302" s="29"/>
      <c r="H2302" s="27"/>
      <c r="K2302"/>
      <c r="P2302" s="27"/>
      <c r="Q2302" s="27"/>
      <c r="R2302" s="27"/>
    </row>
    <row r="2303" spans="1:18">
      <c r="A2303" s="28"/>
      <c r="B2303" s="29"/>
      <c r="C2303" s="29"/>
      <c r="D2303" s="29"/>
      <c r="E2303" s="29"/>
      <c r="H2303" s="27"/>
      <c r="K2303"/>
      <c r="P2303" s="27"/>
      <c r="Q2303" s="27"/>
      <c r="R2303" s="27"/>
    </row>
    <row r="2304" spans="1:18">
      <c r="A2304" s="28"/>
      <c r="B2304" s="29"/>
      <c r="C2304" s="29"/>
      <c r="D2304" s="29"/>
      <c r="E2304" s="29"/>
      <c r="H2304" s="27"/>
      <c r="K2304"/>
      <c r="P2304" s="27"/>
      <c r="Q2304" s="27"/>
      <c r="R2304" s="27"/>
    </row>
    <row r="2305" spans="1:18">
      <c r="A2305" s="28"/>
      <c r="B2305" s="29"/>
      <c r="C2305" s="29"/>
      <c r="D2305" s="29"/>
      <c r="E2305" s="29"/>
      <c r="H2305" s="27"/>
      <c r="K2305"/>
      <c r="P2305" s="27"/>
      <c r="Q2305" s="27"/>
      <c r="R2305" s="27"/>
    </row>
    <row r="2306" spans="1:18">
      <c r="A2306" s="28"/>
      <c r="B2306" s="29"/>
      <c r="C2306" s="29"/>
      <c r="D2306" s="29"/>
      <c r="E2306" s="29"/>
      <c r="H2306" s="27"/>
      <c r="K2306"/>
      <c r="P2306" s="27"/>
      <c r="Q2306" s="27"/>
      <c r="R2306" s="27"/>
    </row>
    <row r="2307" spans="1:18">
      <c r="A2307" s="28"/>
      <c r="B2307" s="29"/>
      <c r="C2307" s="29"/>
      <c r="D2307" s="29"/>
      <c r="E2307" s="29"/>
      <c r="H2307" s="27"/>
      <c r="K2307"/>
      <c r="P2307" s="27"/>
      <c r="Q2307" s="27"/>
      <c r="R2307" s="27"/>
    </row>
    <row r="2308" spans="1:18">
      <c r="A2308" s="28"/>
      <c r="B2308" s="29"/>
      <c r="C2308" s="29"/>
      <c r="D2308" s="29"/>
      <c r="E2308" s="29"/>
      <c r="H2308" s="27"/>
      <c r="K2308"/>
      <c r="P2308" s="27"/>
      <c r="Q2308" s="27"/>
      <c r="R2308" s="27"/>
    </row>
    <row r="2309" spans="1:18">
      <c r="A2309" s="28"/>
      <c r="B2309" s="29"/>
      <c r="C2309" s="29"/>
      <c r="D2309" s="29"/>
      <c r="E2309" s="29"/>
      <c r="H2309" s="27"/>
      <c r="K2309"/>
      <c r="P2309" s="27"/>
      <c r="Q2309" s="27"/>
      <c r="R2309" s="27"/>
    </row>
    <row r="2310" spans="1:18">
      <c r="A2310" s="28"/>
      <c r="B2310" s="29"/>
      <c r="C2310" s="29"/>
      <c r="D2310" s="29"/>
      <c r="E2310" s="29"/>
      <c r="H2310" s="27"/>
      <c r="K2310"/>
      <c r="P2310" s="27"/>
      <c r="Q2310" s="27"/>
      <c r="R2310" s="27"/>
    </row>
    <row r="2311" spans="1:18">
      <c r="A2311" s="28"/>
      <c r="B2311" s="29"/>
      <c r="C2311" s="29"/>
      <c r="D2311" s="29"/>
      <c r="E2311" s="29"/>
      <c r="H2311" s="27"/>
      <c r="K2311"/>
      <c r="P2311" s="27"/>
      <c r="Q2311" s="27"/>
      <c r="R2311" s="27"/>
    </row>
    <row r="2312" spans="1:18">
      <c r="A2312" s="28"/>
      <c r="B2312" s="29"/>
      <c r="C2312" s="29"/>
      <c r="D2312" s="29"/>
      <c r="E2312" s="29"/>
      <c r="H2312" s="27"/>
      <c r="K2312"/>
      <c r="P2312" s="27"/>
      <c r="Q2312" s="27"/>
      <c r="R2312" s="27"/>
    </row>
    <row r="2313" spans="1:18">
      <c r="A2313" s="28"/>
      <c r="B2313" s="29"/>
      <c r="C2313" s="29"/>
      <c r="D2313" s="29"/>
      <c r="E2313" s="29"/>
      <c r="H2313" s="27"/>
      <c r="K2313"/>
      <c r="P2313" s="27"/>
      <c r="Q2313" s="27"/>
      <c r="R2313" s="27"/>
    </row>
    <row r="2314" spans="1:18">
      <c r="A2314" s="28"/>
      <c r="B2314" s="29"/>
      <c r="C2314" s="29"/>
      <c r="D2314" s="29"/>
      <c r="E2314" s="29"/>
      <c r="H2314" s="27"/>
      <c r="K2314"/>
      <c r="P2314" s="27"/>
      <c r="Q2314" s="27"/>
      <c r="R2314" s="27"/>
    </row>
    <row r="2315" spans="1:18">
      <c r="A2315" s="28"/>
      <c r="B2315" s="29"/>
      <c r="C2315" s="29"/>
      <c r="D2315" s="29"/>
      <c r="E2315" s="29"/>
      <c r="H2315" s="27"/>
      <c r="K2315"/>
      <c r="P2315" s="27"/>
      <c r="Q2315" s="27"/>
      <c r="R2315" s="27"/>
    </row>
    <row r="2316" spans="1:18">
      <c r="A2316" s="28"/>
      <c r="B2316" s="29"/>
      <c r="C2316" s="29"/>
      <c r="D2316" s="29"/>
      <c r="E2316" s="29"/>
      <c r="H2316" s="27"/>
      <c r="K2316"/>
      <c r="P2316" s="27"/>
      <c r="Q2316" s="27"/>
      <c r="R2316" s="27"/>
    </row>
    <row r="2317" spans="1:18">
      <c r="A2317" s="28"/>
      <c r="B2317" s="29"/>
      <c r="C2317" s="29"/>
      <c r="D2317" s="29"/>
      <c r="E2317" s="29"/>
      <c r="H2317" s="27"/>
      <c r="K2317"/>
      <c r="P2317" s="27"/>
      <c r="Q2317" s="27"/>
      <c r="R2317" s="27"/>
    </row>
    <row r="2318" spans="1:18">
      <c r="A2318" s="28"/>
      <c r="B2318" s="29"/>
      <c r="C2318" s="29"/>
      <c r="D2318" s="29"/>
      <c r="E2318" s="29"/>
      <c r="H2318" s="27"/>
      <c r="K2318"/>
      <c r="P2318" s="27"/>
      <c r="Q2318" s="27"/>
      <c r="R2318" s="27"/>
    </row>
    <row r="2319" spans="1:18">
      <c r="A2319" s="28"/>
      <c r="B2319" s="29"/>
      <c r="C2319" s="29"/>
      <c r="D2319" s="29"/>
      <c r="E2319" s="29"/>
      <c r="H2319" s="27"/>
      <c r="K2319"/>
      <c r="P2319" s="27"/>
      <c r="Q2319" s="27"/>
      <c r="R2319" s="27"/>
    </row>
    <row r="2320" spans="1:18">
      <c r="A2320" s="28"/>
      <c r="B2320" s="29"/>
      <c r="C2320" s="29"/>
      <c r="D2320" s="29"/>
      <c r="E2320" s="29"/>
      <c r="H2320" s="27"/>
      <c r="K2320"/>
      <c r="P2320" s="27"/>
      <c r="Q2320" s="27"/>
      <c r="R2320" s="27"/>
    </row>
    <row r="2321" spans="1:18">
      <c r="A2321" s="28"/>
      <c r="B2321" s="29"/>
      <c r="C2321" s="29"/>
      <c r="D2321" s="29"/>
      <c r="E2321" s="29"/>
      <c r="H2321" s="27"/>
      <c r="K2321"/>
      <c r="P2321" s="27"/>
      <c r="Q2321" s="27"/>
      <c r="R2321" s="27"/>
    </row>
    <row r="2322" spans="1:18">
      <c r="A2322" s="28"/>
      <c r="B2322" s="29"/>
      <c r="C2322" s="29"/>
      <c r="D2322" s="29"/>
      <c r="E2322" s="29"/>
      <c r="H2322" s="27"/>
      <c r="K2322"/>
      <c r="P2322" s="27"/>
      <c r="Q2322" s="27"/>
      <c r="R2322" s="27"/>
    </row>
    <row r="2323" spans="1:18">
      <c r="A2323" s="28"/>
      <c r="B2323" s="29"/>
      <c r="C2323" s="29"/>
      <c r="D2323" s="29"/>
      <c r="E2323" s="29"/>
      <c r="H2323" s="27"/>
      <c r="K2323"/>
      <c r="P2323" s="27"/>
      <c r="Q2323" s="27"/>
      <c r="R2323" s="27"/>
    </row>
    <row r="2324" spans="1:18">
      <c r="A2324" s="28"/>
      <c r="B2324" s="29"/>
      <c r="C2324" s="29"/>
      <c r="D2324" s="29"/>
      <c r="E2324" s="29"/>
      <c r="H2324" s="27"/>
      <c r="K2324"/>
      <c r="P2324" s="27"/>
      <c r="Q2324" s="27"/>
      <c r="R2324" s="27"/>
    </row>
    <row r="2325" spans="1:18">
      <c r="A2325" s="28"/>
      <c r="B2325" s="29"/>
      <c r="C2325" s="29"/>
      <c r="D2325" s="29"/>
      <c r="E2325" s="29"/>
      <c r="H2325" s="27"/>
      <c r="K2325"/>
      <c r="P2325" s="27"/>
      <c r="Q2325" s="27"/>
      <c r="R2325" s="27"/>
    </row>
    <row r="2326" spans="1:18">
      <c r="A2326" s="28"/>
      <c r="B2326" s="29"/>
      <c r="C2326" s="29"/>
      <c r="D2326" s="29"/>
      <c r="E2326" s="29"/>
      <c r="H2326" s="27"/>
      <c r="K2326"/>
      <c r="P2326" s="27"/>
      <c r="Q2326" s="27"/>
      <c r="R2326" s="27"/>
    </row>
    <row r="2327" spans="1:18">
      <c r="A2327" s="28"/>
      <c r="B2327" s="29"/>
      <c r="C2327" s="29"/>
      <c r="D2327" s="29"/>
      <c r="E2327" s="29"/>
      <c r="H2327" s="27"/>
      <c r="K2327"/>
      <c r="P2327" s="27"/>
      <c r="Q2327" s="27"/>
      <c r="R2327" s="27"/>
    </row>
    <row r="2328" spans="1:18">
      <c r="A2328" s="28"/>
      <c r="B2328" s="29"/>
      <c r="C2328" s="29"/>
      <c r="D2328" s="29"/>
      <c r="E2328" s="29"/>
      <c r="H2328" s="27"/>
      <c r="K2328"/>
      <c r="P2328" s="27"/>
      <c r="Q2328" s="27"/>
      <c r="R2328" s="27"/>
    </row>
    <row r="2329" spans="1:18">
      <c r="A2329" s="28"/>
      <c r="B2329" s="29"/>
      <c r="C2329" s="29"/>
      <c r="D2329" s="29"/>
      <c r="E2329" s="29"/>
      <c r="H2329" s="27"/>
      <c r="K2329"/>
      <c r="P2329" s="27"/>
      <c r="Q2329" s="27"/>
      <c r="R2329" s="27"/>
    </row>
    <row r="2330" spans="1:18">
      <c r="A2330" s="28"/>
      <c r="B2330" s="29"/>
      <c r="C2330" s="29"/>
      <c r="D2330" s="29"/>
      <c r="E2330" s="29"/>
      <c r="H2330" s="27"/>
      <c r="K2330"/>
      <c r="P2330" s="27"/>
      <c r="Q2330" s="27"/>
      <c r="R2330" s="27"/>
    </row>
    <row r="2331" spans="1:18">
      <c r="A2331" s="28"/>
      <c r="B2331" s="29"/>
      <c r="C2331" s="29"/>
      <c r="D2331" s="29"/>
      <c r="E2331" s="29"/>
      <c r="H2331" s="27"/>
      <c r="K2331"/>
      <c r="P2331" s="27"/>
      <c r="Q2331" s="27"/>
      <c r="R2331" s="27"/>
    </row>
    <row r="2332" spans="1:18">
      <c r="A2332" s="28"/>
      <c r="B2332" s="29"/>
      <c r="C2332" s="29"/>
      <c r="D2332" s="29"/>
      <c r="E2332" s="29"/>
      <c r="H2332" s="27"/>
      <c r="K2332"/>
      <c r="P2332" s="27"/>
      <c r="Q2332" s="27"/>
      <c r="R2332" s="27"/>
    </row>
    <row r="2333" spans="1:18">
      <c r="A2333" s="28"/>
      <c r="B2333" s="29"/>
      <c r="C2333" s="29"/>
      <c r="D2333" s="29"/>
      <c r="E2333" s="29"/>
      <c r="H2333" s="27"/>
      <c r="K2333"/>
      <c r="P2333" s="27"/>
      <c r="Q2333" s="27"/>
      <c r="R2333" s="27"/>
    </row>
    <row r="2334" spans="1:18">
      <c r="A2334" s="28"/>
      <c r="B2334" s="29"/>
      <c r="C2334" s="29"/>
      <c r="D2334" s="29"/>
      <c r="E2334" s="29"/>
      <c r="H2334" s="27"/>
      <c r="K2334"/>
      <c r="P2334" s="27"/>
      <c r="Q2334" s="27"/>
      <c r="R2334" s="27"/>
    </row>
    <row r="2335" spans="1:18">
      <c r="A2335" s="28"/>
      <c r="B2335" s="29"/>
      <c r="C2335" s="29"/>
      <c r="D2335" s="29"/>
      <c r="E2335" s="29"/>
      <c r="H2335" s="27"/>
      <c r="K2335"/>
      <c r="P2335" s="27"/>
      <c r="Q2335" s="27"/>
      <c r="R2335" s="27"/>
    </row>
    <row r="2336" spans="1:18">
      <c r="A2336" s="28"/>
      <c r="B2336" s="29"/>
      <c r="C2336" s="29"/>
      <c r="D2336" s="29"/>
      <c r="E2336" s="29"/>
      <c r="H2336" s="27"/>
      <c r="K2336"/>
      <c r="P2336" s="27"/>
      <c r="Q2336" s="27"/>
      <c r="R2336" s="27"/>
    </row>
    <row r="2337" spans="1:18">
      <c r="A2337" s="28"/>
      <c r="B2337" s="29"/>
      <c r="C2337" s="29"/>
      <c r="D2337" s="29"/>
      <c r="E2337" s="29"/>
      <c r="H2337" s="27"/>
      <c r="K2337"/>
      <c r="P2337" s="27"/>
      <c r="Q2337" s="27"/>
      <c r="R2337" s="27"/>
    </row>
    <row r="2338" spans="1:18">
      <c r="A2338" s="28"/>
      <c r="B2338" s="29"/>
      <c r="C2338" s="29"/>
      <c r="D2338" s="29"/>
      <c r="E2338" s="29"/>
      <c r="H2338" s="27"/>
      <c r="K2338"/>
      <c r="P2338" s="27"/>
      <c r="Q2338" s="27"/>
      <c r="R2338" s="27"/>
    </row>
    <row r="2339" spans="1:18">
      <c r="A2339" s="28"/>
      <c r="B2339" s="29"/>
      <c r="C2339" s="29"/>
      <c r="D2339" s="29"/>
      <c r="E2339" s="29"/>
      <c r="H2339" s="27"/>
      <c r="K2339"/>
      <c r="P2339" s="27"/>
      <c r="Q2339" s="27"/>
      <c r="R2339" s="27"/>
    </row>
    <row r="2340" spans="1:18">
      <c r="A2340" s="28"/>
      <c r="B2340" s="29"/>
      <c r="C2340" s="29"/>
      <c r="D2340" s="29"/>
      <c r="E2340" s="29"/>
      <c r="H2340" s="27"/>
      <c r="K2340"/>
      <c r="P2340" s="27"/>
      <c r="Q2340" s="27"/>
      <c r="R2340" s="27"/>
    </row>
    <row r="2341" spans="1:18">
      <c r="A2341" s="28"/>
      <c r="B2341" s="29"/>
      <c r="C2341" s="29"/>
      <c r="D2341" s="29"/>
      <c r="E2341" s="29"/>
      <c r="H2341" s="27"/>
      <c r="K2341"/>
      <c r="P2341" s="27"/>
      <c r="Q2341" s="27"/>
      <c r="R2341" s="27"/>
    </row>
    <row r="2342" spans="1:18">
      <c r="A2342" s="28"/>
      <c r="B2342" s="29"/>
      <c r="C2342" s="29"/>
      <c r="D2342" s="29"/>
      <c r="E2342" s="29"/>
      <c r="H2342" s="27"/>
      <c r="K2342"/>
      <c r="P2342" s="27"/>
      <c r="Q2342" s="27"/>
      <c r="R2342" s="27"/>
    </row>
    <row r="2343" spans="1:18">
      <c r="A2343" s="28"/>
      <c r="B2343" s="29"/>
      <c r="C2343" s="29"/>
      <c r="D2343" s="29"/>
      <c r="E2343" s="29"/>
      <c r="H2343" s="27"/>
      <c r="K2343"/>
      <c r="P2343" s="27"/>
      <c r="Q2343" s="27"/>
      <c r="R2343" s="27"/>
    </row>
    <row r="2344" spans="1:18">
      <c r="A2344" s="28"/>
      <c r="B2344" s="29"/>
      <c r="C2344" s="29"/>
      <c r="D2344" s="29"/>
      <c r="E2344" s="29"/>
      <c r="H2344" s="27"/>
      <c r="K2344"/>
      <c r="P2344" s="27"/>
      <c r="Q2344" s="27"/>
      <c r="R2344" s="27"/>
    </row>
    <row r="2345" spans="1:18">
      <c r="A2345" s="28"/>
      <c r="B2345" s="29"/>
      <c r="C2345" s="29"/>
      <c r="D2345" s="29"/>
      <c r="E2345" s="29"/>
      <c r="H2345" s="27"/>
      <c r="K2345"/>
      <c r="P2345" s="27"/>
      <c r="Q2345" s="27"/>
      <c r="R2345" s="27"/>
    </row>
    <row r="2346" spans="1:18">
      <c r="A2346" s="28"/>
      <c r="B2346" s="29"/>
      <c r="C2346" s="29"/>
      <c r="D2346" s="29"/>
      <c r="E2346" s="29"/>
      <c r="H2346" s="27"/>
      <c r="K2346"/>
      <c r="P2346" s="27"/>
      <c r="Q2346" s="27"/>
      <c r="R2346" s="27"/>
    </row>
    <row r="2347" spans="1:18">
      <c r="A2347" s="28"/>
      <c r="B2347" s="29"/>
      <c r="C2347" s="29"/>
      <c r="D2347" s="29"/>
      <c r="E2347" s="29"/>
      <c r="H2347" s="27"/>
      <c r="K2347"/>
      <c r="P2347" s="27"/>
      <c r="Q2347" s="27"/>
      <c r="R2347" s="27"/>
    </row>
    <row r="2348" spans="1:18">
      <c r="A2348" s="28"/>
      <c r="B2348" s="29"/>
      <c r="C2348" s="29"/>
      <c r="D2348" s="29"/>
      <c r="E2348" s="29"/>
      <c r="H2348" s="27"/>
      <c r="K2348"/>
      <c r="P2348" s="27"/>
      <c r="Q2348" s="27"/>
      <c r="R2348" s="27"/>
    </row>
    <row r="2349" spans="1:18">
      <c r="A2349" s="28"/>
      <c r="B2349" s="29"/>
      <c r="C2349" s="29"/>
      <c r="D2349" s="29"/>
      <c r="E2349" s="29"/>
      <c r="H2349" s="27"/>
      <c r="K2349"/>
      <c r="P2349" s="27"/>
      <c r="Q2349" s="27"/>
      <c r="R2349" s="27"/>
    </row>
    <row r="2350" spans="1:18">
      <c r="A2350" s="28"/>
      <c r="B2350" s="29"/>
      <c r="C2350" s="29"/>
      <c r="D2350" s="29"/>
      <c r="E2350" s="29"/>
      <c r="H2350" s="27"/>
      <c r="K2350"/>
      <c r="P2350" s="27"/>
      <c r="Q2350" s="27"/>
      <c r="R2350" s="27"/>
    </row>
    <row r="2351" spans="1:18">
      <c r="A2351" s="28"/>
      <c r="B2351" s="29"/>
      <c r="C2351" s="29"/>
      <c r="D2351" s="29"/>
      <c r="E2351" s="29"/>
      <c r="H2351" s="27"/>
      <c r="K2351"/>
      <c r="P2351" s="27"/>
      <c r="Q2351" s="27"/>
      <c r="R2351" s="27"/>
    </row>
    <row r="2352" spans="1:18">
      <c r="A2352" s="28"/>
      <c r="B2352" s="29"/>
      <c r="C2352" s="29"/>
      <c r="D2352" s="29"/>
      <c r="E2352" s="29"/>
      <c r="H2352" s="27"/>
      <c r="K2352"/>
      <c r="P2352" s="27"/>
      <c r="Q2352" s="27"/>
      <c r="R2352" s="27"/>
    </row>
    <row r="2353" spans="1:18">
      <c r="A2353" s="28"/>
      <c r="B2353" s="29"/>
      <c r="C2353" s="29"/>
      <c r="D2353" s="29"/>
      <c r="E2353" s="29"/>
      <c r="H2353" s="27"/>
      <c r="K2353"/>
      <c r="P2353" s="27"/>
      <c r="Q2353" s="27"/>
      <c r="R2353" s="27"/>
    </row>
    <row r="2354" spans="1:18">
      <c r="A2354" s="28"/>
      <c r="B2354" s="29"/>
      <c r="C2354" s="29"/>
      <c r="D2354" s="29"/>
      <c r="E2354" s="29"/>
      <c r="H2354" s="27"/>
      <c r="K2354"/>
      <c r="P2354" s="27"/>
      <c r="Q2354" s="27"/>
      <c r="R2354" s="27"/>
    </row>
    <row r="2355" spans="1:18">
      <c r="A2355" s="28"/>
      <c r="B2355" s="29"/>
      <c r="C2355" s="29"/>
      <c r="D2355" s="29"/>
      <c r="E2355" s="29"/>
      <c r="H2355" s="27"/>
      <c r="K2355"/>
      <c r="P2355" s="27"/>
      <c r="Q2355" s="27"/>
      <c r="R2355" s="27"/>
    </row>
    <row r="2356" spans="1:18">
      <c r="A2356" s="28"/>
      <c r="B2356" s="29"/>
      <c r="C2356" s="29"/>
      <c r="D2356" s="29"/>
      <c r="E2356" s="29"/>
      <c r="H2356" s="27"/>
      <c r="K2356"/>
      <c r="P2356" s="27"/>
      <c r="Q2356" s="27"/>
      <c r="R2356" s="27"/>
    </row>
    <row r="2357" spans="1:18">
      <c r="A2357" s="28"/>
      <c r="B2357" s="29"/>
      <c r="C2357" s="29"/>
      <c r="D2357" s="29"/>
      <c r="E2357" s="29"/>
      <c r="H2357" s="27"/>
      <c r="K2357"/>
      <c r="P2357" s="27"/>
      <c r="Q2357" s="27"/>
      <c r="R2357" s="27"/>
    </row>
    <row r="2358" spans="1:18">
      <c r="A2358" s="28"/>
      <c r="B2358" s="29"/>
      <c r="C2358" s="29"/>
      <c r="D2358" s="29"/>
      <c r="E2358" s="29"/>
      <c r="H2358" s="27"/>
      <c r="K2358"/>
      <c r="P2358" s="27"/>
      <c r="Q2358" s="27"/>
      <c r="R2358" s="27"/>
    </row>
    <row r="2359" spans="1:18">
      <c r="A2359" s="28"/>
      <c r="B2359" s="29"/>
      <c r="C2359" s="29"/>
      <c r="D2359" s="29"/>
      <c r="E2359" s="29"/>
      <c r="H2359" s="27"/>
      <c r="K2359"/>
      <c r="P2359" s="27"/>
      <c r="Q2359" s="27"/>
      <c r="R2359" s="27"/>
    </row>
    <row r="2360" spans="1:18">
      <c r="A2360" s="28"/>
      <c r="B2360" s="29"/>
      <c r="C2360" s="29"/>
      <c r="D2360" s="29"/>
      <c r="E2360" s="29"/>
      <c r="H2360" s="27"/>
      <c r="K2360"/>
      <c r="P2360" s="27"/>
      <c r="Q2360" s="27"/>
      <c r="R2360" s="27"/>
    </row>
    <row r="2361" spans="1:18">
      <c r="A2361" s="28"/>
      <c r="B2361" s="29"/>
      <c r="C2361" s="29"/>
      <c r="D2361" s="29"/>
      <c r="E2361" s="29"/>
      <c r="H2361" s="27"/>
      <c r="K2361"/>
      <c r="P2361" s="27"/>
      <c r="Q2361" s="27"/>
      <c r="R2361" s="27"/>
    </row>
    <row r="2362" spans="1:18">
      <c r="A2362" s="28"/>
      <c r="B2362" s="29"/>
      <c r="C2362" s="29"/>
      <c r="D2362" s="29"/>
      <c r="E2362" s="29"/>
      <c r="H2362" s="27"/>
      <c r="K2362"/>
      <c r="P2362" s="27"/>
      <c r="Q2362" s="27"/>
      <c r="R2362" s="27"/>
    </row>
    <row r="2363" spans="1:18">
      <c r="A2363" s="28"/>
      <c r="B2363" s="29"/>
      <c r="C2363" s="29"/>
      <c r="D2363" s="29"/>
      <c r="E2363" s="29"/>
      <c r="H2363" s="27"/>
      <c r="K2363"/>
      <c r="P2363" s="27"/>
      <c r="Q2363" s="27"/>
      <c r="R2363" s="27"/>
    </row>
    <row r="2364" spans="1:18">
      <c r="A2364" s="28"/>
      <c r="B2364" s="29"/>
      <c r="C2364" s="29"/>
      <c r="D2364" s="29"/>
      <c r="E2364" s="29"/>
      <c r="H2364" s="27"/>
      <c r="K2364"/>
      <c r="P2364" s="27"/>
      <c r="Q2364" s="27"/>
      <c r="R2364" s="27"/>
    </row>
    <row r="2365" spans="1:18">
      <c r="A2365" s="28"/>
      <c r="B2365" s="29"/>
      <c r="C2365" s="29"/>
      <c r="D2365" s="29"/>
      <c r="E2365" s="29"/>
      <c r="H2365" s="27"/>
      <c r="K2365"/>
      <c r="P2365" s="27"/>
      <c r="Q2365" s="27"/>
      <c r="R2365" s="27"/>
    </row>
    <row r="2366" spans="1:18">
      <c r="A2366" s="28"/>
      <c r="B2366" s="29"/>
      <c r="C2366" s="29"/>
      <c r="D2366" s="29"/>
      <c r="E2366" s="29"/>
      <c r="H2366" s="27"/>
      <c r="K2366"/>
      <c r="P2366" s="27"/>
      <c r="Q2366" s="27"/>
      <c r="R2366" s="27"/>
    </row>
    <row r="2367" spans="1:18">
      <c r="A2367" s="28"/>
      <c r="B2367" s="29"/>
      <c r="C2367" s="29"/>
      <c r="D2367" s="29"/>
      <c r="E2367" s="29"/>
      <c r="H2367" s="27"/>
      <c r="K2367"/>
      <c r="P2367" s="27"/>
      <c r="Q2367" s="27"/>
      <c r="R2367" s="27"/>
    </row>
    <row r="2368" spans="1:18">
      <c r="A2368" s="28"/>
      <c r="B2368" s="29"/>
      <c r="C2368" s="29"/>
      <c r="D2368" s="29"/>
      <c r="E2368" s="29"/>
      <c r="H2368" s="27"/>
      <c r="K2368"/>
      <c r="P2368" s="27"/>
      <c r="Q2368" s="27"/>
      <c r="R2368" s="27"/>
    </row>
    <row r="2369" spans="1:18">
      <c r="A2369" s="28"/>
      <c r="B2369" s="29"/>
      <c r="C2369" s="29"/>
      <c r="D2369" s="29"/>
      <c r="E2369" s="29"/>
      <c r="H2369" s="27"/>
      <c r="K2369"/>
      <c r="P2369" s="27"/>
      <c r="Q2369" s="27"/>
      <c r="R2369" s="27"/>
    </row>
    <row r="2370" spans="1:18">
      <c r="A2370" s="28"/>
      <c r="B2370" s="29"/>
      <c r="C2370" s="29"/>
      <c r="D2370" s="29"/>
      <c r="E2370" s="29"/>
      <c r="H2370" s="27"/>
      <c r="K2370"/>
      <c r="P2370" s="27"/>
      <c r="Q2370" s="27"/>
      <c r="R2370" s="27"/>
    </row>
    <row r="2371" spans="1:18">
      <c r="A2371" s="28"/>
      <c r="B2371" s="29"/>
      <c r="C2371" s="29"/>
      <c r="D2371" s="29"/>
      <c r="E2371" s="29"/>
      <c r="H2371" s="27"/>
      <c r="K2371"/>
      <c r="P2371" s="27"/>
      <c r="Q2371" s="27"/>
      <c r="R2371" s="27"/>
    </row>
    <row r="2372" spans="1:18">
      <c r="A2372" s="28"/>
      <c r="B2372" s="29"/>
      <c r="C2372" s="29"/>
      <c r="D2372" s="29"/>
      <c r="E2372" s="29"/>
      <c r="H2372" s="27"/>
      <c r="K2372"/>
      <c r="P2372" s="27"/>
      <c r="Q2372" s="27"/>
      <c r="R2372" s="27"/>
    </row>
    <row r="2373" spans="1:18">
      <c r="A2373" s="28"/>
      <c r="B2373" s="29"/>
      <c r="C2373" s="29"/>
      <c r="D2373" s="29"/>
      <c r="E2373" s="29"/>
      <c r="H2373" s="27"/>
      <c r="K2373"/>
      <c r="P2373" s="27"/>
      <c r="Q2373" s="27"/>
      <c r="R2373" s="27"/>
    </row>
    <row r="2374" spans="1:18">
      <c r="A2374" s="28"/>
      <c r="B2374" s="29"/>
      <c r="C2374" s="29"/>
      <c r="D2374" s="29"/>
      <c r="E2374" s="29"/>
      <c r="H2374" s="27"/>
      <c r="K2374"/>
      <c r="P2374" s="27"/>
      <c r="Q2374" s="27"/>
      <c r="R2374" s="27"/>
    </row>
    <row r="2375" spans="1:18">
      <c r="A2375" s="28"/>
      <c r="B2375" s="29"/>
      <c r="C2375" s="29"/>
      <c r="D2375" s="29"/>
      <c r="E2375" s="29"/>
      <c r="H2375" s="27"/>
      <c r="K2375"/>
      <c r="P2375" s="27"/>
      <c r="Q2375" s="27"/>
      <c r="R2375" s="27"/>
    </row>
    <row r="2376" spans="1:18">
      <c r="A2376" s="28"/>
      <c r="B2376" s="29"/>
      <c r="C2376" s="29"/>
      <c r="D2376" s="29"/>
      <c r="E2376" s="29"/>
      <c r="H2376" s="27"/>
      <c r="K2376"/>
      <c r="P2376" s="27"/>
      <c r="Q2376" s="27"/>
      <c r="R2376" s="27"/>
    </row>
    <row r="2377" spans="1:18">
      <c r="A2377" s="28"/>
      <c r="B2377" s="29"/>
      <c r="C2377" s="29"/>
      <c r="D2377" s="29"/>
      <c r="E2377" s="29"/>
      <c r="H2377" s="27"/>
      <c r="K2377"/>
      <c r="P2377" s="27"/>
      <c r="Q2377" s="27"/>
      <c r="R2377" s="27"/>
    </row>
    <row r="2378" spans="1:18">
      <c r="A2378" s="28"/>
      <c r="B2378" s="29"/>
      <c r="C2378" s="29"/>
      <c r="D2378" s="29"/>
      <c r="E2378" s="29"/>
      <c r="H2378" s="27"/>
      <c r="K2378"/>
      <c r="P2378" s="27"/>
      <c r="Q2378" s="27"/>
      <c r="R2378" s="27"/>
    </row>
    <row r="2379" spans="1:18">
      <c r="A2379" s="28"/>
      <c r="B2379" s="29"/>
      <c r="C2379" s="29"/>
      <c r="D2379" s="29"/>
      <c r="E2379" s="29"/>
      <c r="H2379" s="27"/>
      <c r="K2379"/>
      <c r="P2379" s="27"/>
      <c r="Q2379" s="27"/>
      <c r="R2379" s="27"/>
    </row>
    <row r="2380" spans="1:18">
      <c r="A2380" s="28"/>
      <c r="B2380" s="29"/>
      <c r="C2380" s="29"/>
      <c r="D2380" s="29"/>
      <c r="E2380" s="29"/>
      <c r="H2380" s="27"/>
      <c r="K2380"/>
      <c r="P2380" s="27"/>
      <c r="Q2380" s="27"/>
      <c r="R2380" s="27"/>
    </row>
    <row r="2381" spans="1:18">
      <c r="A2381" s="28"/>
      <c r="B2381" s="29"/>
      <c r="C2381" s="29"/>
      <c r="D2381" s="29"/>
      <c r="E2381" s="29"/>
      <c r="H2381" s="27"/>
      <c r="K2381"/>
      <c r="P2381" s="27"/>
      <c r="Q2381" s="27"/>
      <c r="R2381" s="27"/>
    </row>
    <row r="2382" spans="1:18">
      <c r="A2382" s="28"/>
      <c r="B2382" s="29"/>
      <c r="C2382" s="29"/>
      <c r="D2382" s="29"/>
      <c r="E2382" s="29"/>
      <c r="H2382" s="27"/>
      <c r="K2382"/>
      <c r="P2382" s="27"/>
      <c r="Q2382" s="27"/>
      <c r="R2382" s="27"/>
    </row>
    <row r="2383" spans="1:18">
      <c r="A2383" s="28"/>
      <c r="B2383" s="29"/>
      <c r="C2383" s="29"/>
      <c r="D2383" s="29"/>
      <c r="E2383" s="29"/>
      <c r="H2383" s="27"/>
      <c r="K2383"/>
      <c r="P2383" s="27"/>
      <c r="Q2383" s="27"/>
      <c r="R2383" s="27"/>
    </row>
    <row r="2384" spans="1:18">
      <c r="A2384" s="28"/>
      <c r="B2384" s="29"/>
      <c r="C2384" s="29"/>
      <c r="D2384" s="29"/>
      <c r="E2384" s="29"/>
      <c r="H2384" s="27"/>
      <c r="K2384"/>
      <c r="P2384" s="27"/>
      <c r="Q2384" s="27"/>
      <c r="R2384" s="27"/>
    </row>
    <row r="2385" spans="1:18">
      <c r="A2385" s="28"/>
      <c r="B2385" s="29"/>
      <c r="C2385" s="29"/>
      <c r="D2385" s="29"/>
      <c r="E2385" s="29"/>
      <c r="H2385" s="27"/>
      <c r="K2385"/>
      <c r="P2385" s="27"/>
      <c r="Q2385" s="27"/>
      <c r="R2385" s="27"/>
    </row>
    <row r="2386" spans="1:18">
      <c r="A2386" s="28"/>
      <c r="B2386" s="29"/>
      <c r="C2386" s="29"/>
      <c r="D2386" s="29"/>
      <c r="E2386" s="29"/>
      <c r="H2386" s="27"/>
      <c r="K2386"/>
      <c r="P2386" s="27"/>
      <c r="Q2386" s="27"/>
      <c r="R2386" s="27"/>
    </row>
    <row r="2387" spans="1:18">
      <c r="A2387" s="28"/>
      <c r="B2387" s="29"/>
      <c r="C2387" s="29"/>
      <c r="D2387" s="29"/>
      <c r="E2387" s="29"/>
      <c r="H2387" s="27"/>
      <c r="K2387"/>
      <c r="P2387" s="27"/>
      <c r="Q2387" s="27"/>
      <c r="R2387" s="27"/>
    </row>
    <row r="2388" spans="1:18">
      <c r="A2388" s="28"/>
      <c r="B2388" s="29"/>
      <c r="C2388" s="29"/>
      <c r="D2388" s="29"/>
      <c r="E2388" s="29"/>
      <c r="H2388" s="27"/>
      <c r="K2388"/>
      <c r="P2388" s="27"/>
      <c r="Q2388" s="27"/>
      <c r="R2388" s="27"/>
    </row>
    <row r="2389" spans="1:18">
      <c r="A2389" s="28"/>
      <c r="B2389" s="29"/>
      <c r="C2389" s="29"/>
      <c r="D2389" s="29"/>
      <c r="E2389" s="29"/>
      <c r="H2389" s="27"/>
      <c r="K2389"/>
      <c r="P2389" s="27"/>
      <c r="Q2389" s="27"/>
      <c r="R2389" s="27"/>
    </row>
    <row r="2390" spans="1:18">
      <c r="A2390" s="28"/>
      <c r="B2390" s="29"/>
      <c r="C2390" s="29"/>
      <c r="D2390" s="29"/>
      <c r="E2390" s="29"/>
      <c r="H2390" s="27"/>
      <c r="K2390"/>
      <c r="P2390" s="27"/>
      <c r="Q2390" s="27"/>
      <c r="R2390" s="27"/>
    </row>
    <row r="2391" spans="1:18">
      <c r="A2391" s="28"/>
      <c r="B2391" s="29"/>
      <c r="C2391" s="29"/>
      <c r="D2391" s="29"/>
      <c r="E2391" s="29"/>
      <c r="H2391" s="27"/>
      <c r="K2391"/>
      <c r="P2391" s="27"/>
      <c r="Q2391" s="27"/>
      <c r="R2391" s="27"/>
    </row>
    <row r="2392" spans="1:18">
      <c r="A2392" s="28"/>
      <c r="B2392" s="29"/>
      <c r="C2392" s="29"/>
      <c r="D2392" s="29"/>
      <c r="E2392" s="29"/>
      <c r="H2392" s="27"/>
      <c r="K2392"/>
      <c r="P2392" s="27"/>
      <c r="Q2392" s="27"/>
      <c r="R2392" s="27"/>
    </row>
    <row r="2393" spans="1:18">
      <c r="A2393" s="28"/>
      <c r="B2393" s="29"/>
      <c r="C2393" s="29"/>
      <c r="D2393" s="29"/>
      <c r="E2393" s="29"/>
      <c r="H2393" s="27"/>
      <c r="K2393"/>
      <c r="P2393" s="27"/>
      <c r="Q2393" s="27"/>
      <c r="R2393" s="27"/>
    </row>
    <row r="2394" spans="1:18">
      <c r="A2394" s="28"/>
      <c r="B2394" s="29"/>
      <c r="C2394" s="29"/>
      <c r="D2394" s="29"/>
      <c r="E2394" s="29"/>
      <c r="H2394" s="27"/>
      <c r="K2394"/>
      <c r="P2394" s="27"/>
      <c r="Q2394" s="27"/>
      <c r="R2394" s="27"/>
    </row>
    <row r="2395" spans="1:18">
      <c r="A2395" s="28"/>
      <c r="B2395" s="29"/>
      <c r="C2395" s="29"/>
      <c r="D2395" s="29"/>
      <c r="E2395" s="29"/>
      <c r="H2395" s="27"/>
      <c r="K2395"/>
      <c r="P2395" s="27"/>
      <c r="Q2395" s="27"/>
      <c r="R2395" s="27"/>
    </row>
    <row r="2396" spans="1:18">
      <c r="A2396" s="28"/>
      <c r="B2396" s="29"/>
      <c r="C2396" s="29"/>
      <c r="D2396" s="29"/>
      <c r="E2396" s="29"/>
      <c r="H2396" s="27"/>
      <c r="K2396"/>
      <c r="P2396" s="27"/>
      <c r="Q2396" s="27"/>
      <c r="R2396" s="27"/>
    </row>
    <row r="2397" spans="1:18">
      <c r="A2397" s="28"/>
      <c r="B2397" s="29"/>
      <c r="C2397" s="29"/>
      <c r="D2397" s="29"/>
      <c r="E2397" s="29"/>
      <c r="H2397" s="27"/>
      <c r="K2397"/>
      <c r="P2397" s="27"/>
      <c r="Q2397" s="27"/>
      <c r="R2397" s="27"/>
    </row>
    <row r="2398" spans="1:18">
      <c r="A2398" s="28"/>
      <c r="B2398" s="29"/>
      <c r="C2398" s="29"/>
      <c r="D2398" s="29"/>
      <c r="E2398" s="29"/>
      <c r="H2398" s="27"/>
      <c r="K2398"/>
      <c r="P2398" s="27"/>
      <c r="Q2398" s="27"/>
      <c r="R2398" s="27"/>
    </row>
    <row r="2399" spans="1:18">
      <c r="A2399" s="28"/>
      <c r="B2399" s="29"/>
      <c r="C2399" s="29"/>
      <c r="D2399" s="29"/>
      <c r="E2399" s="29"/>
      <c r="H2399" s="27"/>
      <c r="K2399"/>
      <c r="P2399" s="27"/>
      <c r="Q2399" s="27"/>
      <c r="R2399" s="27"/>
    </row>
    <row r="2400" spans="1:18">
      <c r="A2400" s="28"/>
      <c r="B2400" s="29"/>
      <c r="C2400" s="29"/>
      <c r="D2400" s="29"/>
      <c r="E2400" s="29"/>
      <c r="H2400" s="27"/>
      <c r="K2400"/>
      <c r="P2400" s="27"/>
      <c r="Q2400" s="27"/>
      <c r="R2400" s="27"/>
    </row>
    <row r="2401" spans="1:18">
      <c r="A2401" s="28"/>
      <c r="B2401" s="29"/>
      <c r="C2401" s="29"/>
      <c r="D2401" s="29"/>
      <c r="E2401" s="29"/>
      <c r="H2401" s="27"/>
      <c r="K2401"/>
      <c r="P2401" s="27"/>
      <c r="Q2401" s="27"/>
      <c r="R2401" s="27"/>
    </row>
    <row r="2402" spans="1:18">
      <c r="A2402" s="28"/>
      <c r="B2402" s="29"/>
      <c r="C2402" s="29"/>
      <c r="D2402" s="29"/>
      <c r="E2402" s="29"/>
      <c r="H2402" s="27"/>
      <c r="K2402"/>
      <c r="P2402" s="27"/>
      <c r="Q2402" s="27"/>
      <c r="R2402" s="27"/>
    </row>
    <row r="2403" spans="1:18">
      <c r="A2403" s="28"/>
      <c r="B2403" s="29"/>
      <c r="C2403" s="29"/>
      <c r="D2403" s="29"/>
      <c r="E2403" s="29"/>
      <c r="H2403" s="27"/>
      <c r="K2403"/>
      <c r="P2403" s="27"/>
      <c r="Q2403" s="27"/>
      <c r="R2403" s="27"/>
    </row>
    <row r="2404" spans="1:18">
      <c r="A2404" s="28"/>
      <c r="B2404" s="29"/>
      <c r="C2404" s="29"/>
      <c r="D2404" s="29"/>
      <c r="E2404" s="29"/>
      <c r="H2404" s="27"/>
      <c r="K2404"/>
      <c r="P2404" s="27"/>
      <c r="Q2404" s="27"/>
      <c r="R2404" s="27"/>
    </row>
    <row r="2405" spans="1:18">
      <c r="A2405" s="28"/>
      <c r="B2405" s="29"/>
      <c r="C2405" s="29"/>
      <c r="D2405" s="29"/>
      <c r="E2405" s="29"/>
      <c r="H2405" s="27"/>
      <c r="K2405"/>
      <c r="P2405" s="27"/>
      <c r="Q2405" s="27"/>
      <c r="R2405" s="27"/>
    </row>
    <row r="2406" spans="1:18">
      <c r="A2406" s="28"/>
      <c r="B2406" s="29"/>
      <c r="C2406" s="29"/>
      <c r="D2406" s="29"/>
      <c r="E2406" s="29"/>
      <c r="H2406" s="27"/>
      <c r="K2406"/>
      <c r="P2406" s="27"/>
      <c r="Q2406" s="27"/>
      <c r="R2406" s="27"/>
    </row>
    <row r="2407" spans="1:18">
      <c r="A2407" s="28"/>
      <c r="B2407" s="29"/>
      <c r="C2407" s="29"/>
      <c r="D2407" s="29"/>
      <c r="E2407" s="29"/>
      <c r="H2407" s="27"/>
      <c r="K2407"/>
      <c r="P2407" s="27"/>
      <c r="Q2407" s="27"/>
      <c r="R2407" s="27"/>
    </row>
    <row r="2408" spans="1:18">
      <c r="A2408" s="28"/>
      <c r="B2408" s="29"/>
      <c r="C2408" s="29"/>
      <c r="D2408" s="29"/>
      <c r="E2408" s="29"/>
      <c r="H2408" s="27"/>
      <c r="K2408"/>
      <c r="P2408" s="27"/>
      <c r="Q2408" s="27"/>
      <c r="R2408" s="27"/>
    </row>
    <row r="2409" spans="1:18">
      <c r="A2409" s="28"/>
      <c r="B2409" s="29"/>
      <c r="C2409" s="29"/>
      <c r="D2409" s="29"/>
      <c r="E2409" s="29"/>
      <c r="H2409" s="27"/>
      <c r="K2409"/>
      <c r="P2409" s="27"/>
      <c r="Q2409" s="27"/>
      <c r="R2409" s="27"/>
    </row>
    <row r="2410" spans="1:18">
      <c r="A2410" s="28"/>
      <c r="B2410" s="29"/>
      <c r="C2410" s="29"/>
      <c r="D2410" s="29"/>
      <c r="E2410" s="29"/>
      <c r="H2410" s="27"/>
      <c r="K2410"/>
      <c r="P2410" s="27"/>
      <c r="Q2410" s="27"/>
      <c r="R2410" s="27"/>
    </row>
    <row r="2411" spans="1:18">
      <c r="A2411" s="28"/>
      <c r="B2411" s="29"/>
      <c r="C2411" s="29"/>
      <c r="D2411" s="29"/>
      <c r="E2411" s="29"/>
      <c r="H2411" s="27"/>
      <c r="K2411"/>
      <c r="P2411" s="27"/>
      <c r="Q2411" s="27"/>
      <c r="R2411" s="27"/>
    </row>
    <row r="2412" spans="1:18">
      <c r="A2412" s="28"/>
      <c r="B2412" s="29"/>
      <c r="C2412" s="29"/>
      <c r="D2412" s="29"/>
      <c r="E2412" s="29"/>
      <c r="H2412" s="27"/>
      <c r="K2412"/>
      <c r="P2412" s="27"/>
      <c r="Q2412" s="27"/>
      <c r="R2412" s="27"/>
    </row>
    <row r="2413" spans="1:18">
      <c r="A2413" s="28"/>
      <c r="B2413" s="29"/>
      <c r="C2413" s="29"/>
      <c r="D2413" s="29"/>
      <c r="E2413" s="29"/>
      <c r="H2413" s="27"/>
      <c r="K2413"/>
      <c r="P2413" s="27"/>
      <c r="Q2413" s="27"/>
      <c r="R2413" s="27"/>
    </row>
    <row r="2414" spans="1:18">
      <c r="A2414" s="28"/>
      <c r="B2414" s="29"/>
      <c r="C2414" s="29"/>
      <c r="D2414" s="29"/>
      <c r="E2414" s="29"/>
      <c r="H2414" s="27"/>
      <c r="K2414"/>
      <c r="P2414" s="27"/>
      <c r="Q2414" s="27"/>
      <c r="R2414" s="27"/>
    </row>
    <row r="2415" spans="1:18">
      <c r="A2415" s="28"/>
      <c r="B2415" s="29"/>
      <c r="C2415" s="29"/>
      <c r="D2415" s="29"/>
      <c r="E2415" s="29"/>
      <c r="H2415" s="27"/>
      <c r="K2415"/>
      <c r="P2415" s="27"/>
      <c r="Q2415" s="27"/>
      <c r="R2415" s="27"/>
    </row>
    <row r="2416" spans="1:18">
      <c r="A2416" s="28"/>
      <c r="B2416" s="29"/>
      <c r="C2416" s="29"/>
      <c r="D2416" s="29"/>
      <c r="E2416" s="29"/>
      <c r="H2416" s="27"/>
      <c r="K2416"/>
      <c r="P2416" s="27"/>
      <c r="Q2416" s="27"/>
      <c r="R2416" s="27"/>
    </row>
    <row r="2417" spans="1:18">
      <c r="A2417" s="28"/>
      <c r="B2417" s="29"/>
      <c r="C2417" s="29"/>
      <c r="D2417" s="29"/>
      <c r="E2417" s="29"/>
      <c r="H2417" s="27"/>
      <c r="K2417"/>
      <c r="P2417" s="27"/>
      <c r="Q2417" s="27"/>
      <c r="R2417" s="27"/>
    </row>
    <row r="2418" spans="1:18">
      <c r="A2418" s="28"/>
      <c r="B2418" s="29"/>
      <c r="C2418" s="29"/>
      <c r="D2418" s="29"/>
      <c r="E2418" s="29"/>
      <c r="H2418" s="27"/>
      <c r="K2418"/>
      <c r="P2418" s="27"/>
      <c r="Q2418" s="27"/>
      <c r="R2418" s="27"/>
    </row>
    <row r="2419" spans="1:18">
      <c r="A2419" s="28"/>
      <c r="B2419" s="29"/>
      <c r="C2419" s="29"/>
      <c r="D2419" s="29"/>
      <c r="E2419" s="29"/>
      <c r="H2419" s="27"/>
      <c r="K2419"/>
      <c r="P2419" s="27"/>
      <c r="Q2419" s="27"/>
      <c r="R2419" s="27"/>
    </row>
    <row r="2420" spans="1:18">
      <c r="A2420" s="28"/>
      <c r="B2420" s="29"/>
      <c r="C2420" s="29"/>
      <c r="D2420" s="29"/>
      <c r="E2420" s="29"/>
      <c r="H2420" s="27"/>
      <c r="K2420"/>
      <c r="P2420" s="27"/>
      <c r="Q2420" s="27"/>
      <c r="R2420" s="27"/>
    </row>
    <row r="2421" spans="1:18">
      <c r="A2421" s="28"/>
      <c r="B2421" s="29"/>
      <c r="C2421" s="29"/>
      <c r="D2421" s="29"/>
      <c r="E2421" s="29"/>
      <c r="H2421" s="27"/>
      <c r="K2421"/>
      <c r="P2421" s="27"/>
      <c r="Q2421" s="27"/>
      <c r="R2421" s="27"/>
    </row>
    <row r="2422" spans="1:18">
      <c r="A2422" s="28"/>
      <c r="B2422" s="29"/>
      <c r="C2422" s="29"/>
      <c r="D2422" s="29"/>
      <c r="E2422" s="29"/>
      <c r="H2422" s="27"/>
      <c r="K2422"/>
      <c r="P2422" s="27"/>
      <c r="Q2422" s="27"/>
      <c r="R2422" s="27"/>
    </row>
    <row r="2423" spans="1:18">
      <c r="A2423" s="28"/>
      <c r="B2423" s="29"/>
      <c r="C2423" s="29"/>
      <c r="D2423" s="29"/>
      <c r="E2423" s="29"/>
      <c r="H2423" s="27"/>
      <c r="K2423"/>
      <c r="P2423" s="27"/>
      <c r="Q2423" s="27"/>
      <c r="R2423" s="27"/>
    </row>
    <row r="2424" spans="1:18">
      <c r="A2424" s="28"/>
      <c r="B2424" s="29"/>
      <c r="C2424" s="29"/>
      <c r="D2424" s="29"/>
      <c r="E2424" s="29"/>
      <c r="H2424" s="27"/>
      <c r="K2424"/>
      <c r="P2424" s="27"/>
      <c r="Q2424" s="27"/>
      <c r="R2424" s="27"/>
    </row>
    <row r="2425" spans="1:18">
      <c r="A2425" s="28"/>
      <c r="B2425" s="29"/>
      <c r="C2425" s="29"/>
      <c r="D2425" s="29"/>
      <c r="E2425" s="29"/>
      <c r="H2425" s="27"/>
      <c r="K2425"/>
      <c r="P2425" s="27"/>
      <c r="Q2425" s="27"/>
      <c r="R2425" s="27"/>
    </row>
    <row r="2426" spans="1:18">
      <c r="A2426" s="28"/>
      <c r="B2426" s="29"/>
      <c r="C2426" s="29"/>
      <c r="D2426" s="29"/>
      <c r="E2426" s="29"/>
      <c r="H2426" s="27"/>
      <c r="K2426"/>
      <c r="P2426" s="27"/>
      <c r="Q2426" s="27"/>
      <c r="R2426" s="27"/>
    </row>
    <row r="2427" spans="1:18">
      <c r="A2427" s="28"/>
      <c r="B2427" s="29"/>
      <c r="C2427" s="29"/>
      <c r="D2427" s="29"/>
      <c r="E2427" s="29"/>
      <c r="H2427" s="27"/>
      <c r="K2427"/>
      <c r="P2427" s="27"/>
      <c r="Q2427" s="27"/>
      <c r="R2427" s="27"/>
    </row>
    <row r="2428" spans="1:18">
      <c r="A2428" s="28"/>
      <c r="B2428" s="29"/>
      <c r="C2428" s="29"/>
      <c r="D2428" s="29"/>
      <c r="E2428" s="29"/>
      <c r="H2428" s="27"/>
      <c r="K2428"/>
      <c r="P2428" s="27"/>
      <c r="Q2428" s="27"/>
      <c r="R2428" s="27"/>
    </row>
    <row r="2429" spans="1:18">
      <c r="A2429" s="28"/>
      <c r="B2429" s="29"/>
      <c r="C2429" s="29"/>
      <c r="D2429" s="29"/>
      <c r="E2429" s="29"/>
      <c r="H2429" s="27"/>
      <c r="K2429"/>
      <c r="P2429" s="27"/>
      <c r="Q2429" s="27"/>
      <c r="R2429" s="27"/>
    </row>
    <row r="2430" spans="1:18">
      <c r="A2430" s="28"/>
      <c r="B2430" s="29"/>
      <c r="C2430" s="29"/>
      <c r="D2430" s="29"/>
      <c r="E2430" s="29"/>
      <c r="H2430" s="27"/>
      <c r="K2430"/>
      <c r="P2430" s="27"/>
      <c r="Q2430" s="27"/>
      <c r="R2430" s="27"/>
    </row>
    <row r="2431" spans="1:18">
      <c r="A2431" s="28"/>
      <c r="B2431" s="29"/>
      <c r="C2431" s="29"/>
      <c r="D2431" s="29"/>
      <c r="E2431" s="29"/>
      <c r="H2431" s="27"/>
      <c r="K2431"/>
      <c r="P2431" s="27"/>
      <c r="Q2431" s="27"/>
      <c r="R2431" s="27"/>
    </row>
    <row r="2432" spans="1:18">
      <c r="A2432" s="28"/>
      <c r="B2432" s="29"/>
      <c r="C2432" s="29"/>
      <c r="D2432" s="29"/>
      <c r="E2432" s="29"/>
      <c r="H2432" s="27"/>
      <c r="K2432"/>
      <c r="P2432" s="27"/>
      <c r="Q2432" s="27"/>
      <c r="R2432" s="27"/>
    </row>
    <row r="2433" spans="1:18">
      <c r="A2433" s="28"/>
      <c r="B2433" s="29"/>
      <c r="C2433" s="29"/>
      <c r="D2433" s="29"/>
      <c r="E2433" s="29"/>
      <c r="H2433" s="27"/>
      <c r="K2433"/>
      <c r="P2433" s="27"/>
      <c r="Q2433" s="27"/>
      <c r="R2433" s="27"/>
    </row>
    <row r="2434" spans="1:18">
      <c r="A2434" s="28"/>
      <c r="B2434" s="29"/>
      <c r="C2434" s="29"/>
      <c r="D2434" s="29"/>
      <c r="E2434" s="29"/>
      <c r="H2434" s="27"/>
      <c r="K2434"/>
      <c r="P2434" s="27"/>
      <c r="Q2434" s="27"/>
      <c r="R2434" s="27"/>
    </row>
    <row r="2435" spans="1:18">
      <c r="A2435" s="28"/>
      <c r="B2435" s="29"/>
      <c r="C2435" s="29"/>
      <c r="D2435" s="29"/>
      <c r="E2435" s="29"/>
      <c r="H2435" s="27"/>
      <c r="K2435"/>
      <c r="P2435" s="27"/>
      <c r="Q2435" s="27"/>
      <c r="R2435" s="27"/>
    </row>
    <row r="2436" spans="1:18">
      <c r="A2436" s="28"/>
      <c r="B2436" s="29"/>
      <c r="C2436" s="29"/>
      <c r="D2436" s="29"/>
      <c r="E2436" s="29"/>
      <c r="H2436" s="27"/>
      <c r="K2436"/>
      <c r="P2436" s="27"/>
      <c r="Q2436" s="27"/>
      <c r="R2436" s="27"/>
    </row>
    <row r="2437" spans="1:18">
      <c r="A2437" s="28"/>
      <c r="B2437" s="29"/>
      <c r="C2437" s="29"/>
      <c r="D2437" s="29"/>
      <c r="E2437" s="29"/>
      <c r="H2437" s="27"/>
      <c r="K2437"/>
      <c r="P2437" s="27"/>
      <c r="Q2437" s="27"/>
      <c r="R2437" s="27"/>
    </row>
    <row r="2438" spans="1:18">
      <c r="A2438" s="28"/>
      <c r="B2438" s="29"/>
      <c r="C2438" s="29"/>
      <c r="D2438" s="29"/>
      <c r="E2438" s="29"/>
      <c r="H2438" s="27"/>
      <c r="K2438"/>
      <c r="P2438" s="27"/>
      <c r="Q2438" s="27"/>
      <c r="R2438" s="27"/>
    </row>
    <row r="2439" spans="1:18">
      <c r="A2439" s="28"/>
      <c r="B2439" s="29"/>
      <c r="C2439" s="29"/>
      <c r="D2439" s="29"/>
      <c r="E2439" s="29"/>
      <c r="H2439" s="27"/>
      <c r="K2439"/>
      <c r="P2439" s="27"/>
      <c r="Q2439" s="27"/>
      <c r="R2439" s="27"/>
    </row>
    <row r="2440" spans="1:18">
      <c r="A2440" s="28"/>
      <c r="B2440" s="29"/>
      <c r="C2440" s="29"/>
      <c r="D2440" s="29"/>
      <c r="E2440" s="29"/>
      <c r="H2440" s="27"/>
      <c r="K2440"/>
      <c r="P2440" s="27"/>
      <c r="Q2440" s="27"/>
      <c r="R2440" s="27"/>
    </row>
    <row r="2441" spans="1:18">
      <c r="A2441" s="28"/>
      <c r="B2441" s="29"/>
      <c r="C2441" s="29"/>
      <c r="D2441" s="29"/>
      <c r="E2441" s="29"/>
      <c r="H2441" s="27"/>
      <c r="K2441"/>
      <c r="P2441" s="27"/>
      <c r="Q2441" s="27"/>
      <c r="R2441" s="27"/>
    </row>
    <row r="2442" spans="1:18">
      <c r="A2442" s="28"/>
      <c r="B2442" s="29"/>
      <c r="C2442" s="29"/>
      <c r="D2442" s="29"/>
      <c r="E2442" s="29"/>
      <c r="H2442" s="27"/>
      <c r="K2442"/>
      <c r="P2442" s="27"/>
      <c r="Q2442" s="27"/>
      <c r="R2442" s="27"/>
    </row>
    <row r="2443" spans="1:18">
      <c r="A2443" s="28"/>
      <c r="B2443" s="29"/>
      <c r="C2443" s="29"/>
      <c r="D2443" s="29"/>
      <c r="E2443" s="29"/>
      <c r="H2443" s="27"/>
      <c r="K2443"/>
      <c r="P2443" s="27"/>
      <c r="Q2443" s="27"/>
      <c r="R2443" s="27"/>
    </row>
    <row r="2444" spans="1:18">
      <c r="A2444" s="28"/>
      <c r="B2444" s="29"/>
      <c r="C2444" s="29"/>
      <c r="D2444" s="29"/>
      <c r="E2444" s="29"/>
      <c r="H2444" s="27"/>
      <c r="K2444"/>
      <c r="P2444" s="27"/>
      <c r="Q2444" s="27"/>
      <c r="R2444" s="27"/>
    </row>
    <row r="2445" spans="1:18">
      <c r="A2445" s="28"/>
      <c r="B2445" s="29"/>
      <c r="C2445" s="29"/>
      <c r="D2445" s="29"/>
      <c r="E2445" s="29"/>
      <c r="H2445" s="27"/>
      <c r="K2445"/>
      <c r="P2445" s="27"/>
      <c r="Q2445" s="27"/>
      <c r="R2445" s="27"/>
    </row>
    <row r="2446" spans="1:18">
      <c r="A2446" s="28"/>
      <c r="B2446" s="29"/>
      <c r="C2446" s="29"/>
      <c r="D2446" s="29"/>
      <c r="E2446" s="29"/>
      <c r="H2446" s="27"/>
      <c r="K2446"/>
      <c r="P2446" s="27"/>
      <c r="Q2446" s="27"/>
      <c r="R2446" s="27"/>
    </row>
    <row r="2447" spans="1:18">
      <c r="A2447" s="28"/>
      <c r="B2447" s="29"/>
      <c r="C2447" s="29"/>
      <c r="D2447" s="29"/>
      <c r="E2447" s="29"/>
      <c r="H2447" s="27"/>
      <c r="K2447"/>
      <c r="P2447" s="27"/>
      <c r="Q2447" s="27"/>
      <c r="R2447" s="27"/>
    </row>
    <row r="2448" spans="1:18">
      <c r="A2448" s="28"/>
      <c r="B2448" s="29"/>
      <c r="C2448" s="29"/>
      <c r="D2448" s="29"/>
      <c r="E2448" s="29"/>
      <c r="H2448" s="27"/>
      <c r="K2448"/>
      <c r="P2448" s="27"/>
      <c r="Q2448" s="27"/>
      <c r="R2448" s="27"/>
    </row>
    <row r="2449" spans="1:18">
      <c r="A2449" s="28"/>
      <c r="B2449" s="29"/>
      <c r="C2449" s="29"/>
      <c r="D2449" s="29"/>
      <c r="E2449" s="29"/>
      <c r="H2449" s="27"/>
      <c r="K2449"/>
      <c r="P2449" s="27"/>
      <c r="Q2449" s="27"/>
      <c r="R2449" s="27"/>
    </row>
    <row r="2450" spans="1:18">
      <c r="A2450" s="28"/>
      <c r="B2450" s="29"/>
      <c r="C2450" s="29"/>
      <c r="D2450" s="29"/>
      <c r="E2450" s="29"/>
      <c r="H2450" s="27"/>
      <c r="K2450"/>
      <c r="P2450" s="27"/>
      <c r="Q2450" s="27"/>
      <c r="R2450" s="27"/>
    </row>
    <row r="2451" spans="1:18">
      <c r="A2451" s="28"/>
      <c r="B2451" s="29"/>
      <c r="C2451" s="29"/>
      <c r="D2451" s="29"/>
      <c r="E2451" s="29"/>
      <c r="H2451" s="27"/>
      <c r="K2451"/>
      <c r="P2451" s="27"/>
      <c r="Q2451" s="27"/>
      <c r="R2451" s="27"/>
    </row>
    <row r="2452" spans="1:18">
      <c r="A2452" s="28"/>
      <c r="B2452" s="29"/>
      <c r="C2452" s="29"/>
      <c r="D2452" s="29"/>
      <c r="E2452" s="29"/>
      <c r="H2452" s="27"/>
      <c r="K2452"/>
      <c r="P2452" s="27"/>
      <c r="Q2452" s="27"/>
      <c r="R2452" s="27"/>
    </row>
    <row r="2453" spans="1:18">
      <c r="A2453" s="28"/>
      <c r="B2453" s="29"/>
      <c r="C2453" s="29"/>
      <c r="D2453" s="29"/>
      <c r="E2453" s="29"/>
      <c r="H2453" s="27"/>
      <c r="K2453"/>
      <c r="P2453" s="27"/>
      <c r="Q2453" s="27"/>
      <c r="R2453" s="27"/>
    </row>
    <row r="2454" spans="1:18">
      <c r="A2454" s="28"/>
      <c r="B2454" s="29"/>
      <c r="C2454" s="29"/>
      <c r="D2454" s="29"/>
      <c r="E2454" s="29"/>
      <c r="H2454" s="27"/>
      <c r="K2454"/>
      <c r="P2454" s="27"/>
      <c r="Q2454" s="27"/>
      <c r="R2454" s="27"/>
    </row>
    <row r="2455" spans="1:18">
      <c r="A2455" s="28"/>
      <c r="B2455" s="29"/>
      <c r="C2455" s="29"/>
      <c r="D2455" s="29"/>
      <c r="E2455" s="29"/>
      <c r="H2455" s="27"/>
      <c r="K2455"/>
      <c r="P2455" s="27"/>
      <c r="Q2455" s="27"/>
      <c r="R2455" s="27"/>
    </row>
    <row r="2456" spans="1:18">
      <c r="A2456" s="28"/>
      <c r="B2456" s="29"/>
      <c r="C2456" s="29"/>
      <c r="D2456" s="29"/>
      <c r="E2456" s="29"/>
      <c r="H2456" s="27"/>
      <c r="K2456"/>
      <c r="P2456" s="27"/>
      <c r="Q2456" s="27"/>
      <c r="R2456" s="27"/>
    </row>
    <row r="2457" spans="1:18">
      <c r="A2457" s="28"/>
      <c r="B2457" s="29"/>
      <c r="C2457" s="29"/>
      <c r="D2457" s="29"/>
      <c r="E2457" s="29"/>
      <c r="H2457" s="27"/>
      <c r="K2457"/>
      <c r="P2457" s="27"/>
      <c r="Q2457" s="27"/>
      <c r="R2457" s="27"/>
    </row>
    <row r="2458" spans="1:18">
      <c r="A2458" s="28"/>
      <c r="B2458" s="29"/>
      <c r="C2458" s="29"/>
      <c r="D2458" s="29"/>
      <c r="E2458" s="29"/>
      <c r="H2458" s="27"/>
      <c r="K2458"/>
      <c r="P2458" s="27"/>
      <c r="Q2458" s="27"/>
      <c r="R2458" s="27"/>
    </row>
    <row r="2459" spans="1:18">
      <c r="A2459" s="28"/>
      <c r="B2459" s="29"/>
      <c r="C2459" s="29"/>
      <c r="D2459" s="29"/>
      <c r="E2459" s="29"/>
      <c r="H2459" s="27"/>
      <c r="K2459"/>
      <c r="P2459" s="27"/>
      <c r="Q2459" s="27"/>
      <c r="R2459" s="27"/>
    </row>
    <row r="2460" spans="1:18">
      <c r="A2460" s="28"/>
      <c r="B2460" s="29"/>
      <c r="C2460" s="29"/>
      <c r="D2460" s="29"/>
      <c r="E2460" s="29"/>
      <c r="H2460" s="27"/>
      <c r="K2460"/>
      <c r="P2460" s="27"/>
      <c r="Q2460" s="27"/>
      <c r="R2460" s="27"/>
    </row>
    <row r="2461" spans="1:18">
      <c r="A2461" s="28"/>
      <c r="B2461" s="29"/>
      <c r="C2461" s="29"/>
      <c r="D2461" s="29"/>
      <c r="E2461" s="29"/>
      <c r="H2461" s="27"/>
      <c r="K2461"/>
      <c r="P2461" s="27"/>
      <c r="Q2461" s="27"/>
      <c r="R2461" s="27"/>
    </row>
    <row r="2462" spans="1:18">
      <c r="A2462" s="28"/>
      <c r="B2462" s="29"/>
      <c r="C2462" s="29"/>
      <c r="D2462" s="29"/>
      <c r="E2462" s="29"/>
      <c r="H2462" s="27"/>
      <c r="K2462"/>
      <c r="P2462" s="27"/>
      <c r="Q2462" s="27"/>
      <c r="R2462" s="27"/>
    </row>
    <row r="2463" spans="1:18">
      <c r="A2463" s="28"/>
      <c r="B2463" s="29"/>
      <c r="C2463" s="29"/>
      <c r="D2463" s="29"/>
      <c r="E2463" s="29"/>
      <c r="H2463" s="27"/>
      <c r="K2463"/>
      <c r="P2463" s="27"/>
      <c r="Q2463" s="27"/>
      <c r="R2463" s="27"/>
    </row>
    <row r="2464" spans="1:18">
      <c r="A2464" s="28"/>
      <c r="B2464" s="29"/>
      <c r="C2464" s="29"/>
      <c r="D2464" s="29"/>
      <c r="E2464" s="29"/>
      <c r="H2464" s="27"/>
      <c r="K2464"/>
      <c r="P2464" s="27"/>
      <c r="Q2464" s="27"/>
      <c r="R2464" s="27"/>
    </row>
    <row r="2465" spans="1:18">
      <c r="A2465" s="28"/>
      <c r="B2465" s="29"/>
      <c r="C2465" s="29"/>
      <c r="D2465" s="29"/>
      <c r="E2465" s="29"/>
      <c r="H2465" s="27"/>
      <c r="K2465"/>
      <c r="P2465" s="27"/>
      <c r="Q2465" s="27"/>
      <c r="R2465" s="27"/>
    </row>
    <row r="2466" spans="1:18">
      <c r="A2466" s="28"/>
      <c r="B2466" s="29"/>
      <c r="C2466" s="29"/>
      <c r="D2466" s="29"/>
      <c r="E2466" s="29"/>
      <c r="H2466" s="27"/>
      <c r="K2466"/>
      <c r="P2466" s="27"/>
      <c r="Q2466" s="27"/>
      <c r="R2466" s="27"/>
    </row>
    <row r="2467" spans="1:18">
      <c r="A2467" s="28"/>
      <c r="B2467" s="29"/>
      <c r="C2467" s="29"/>
      <c r="D2467" s="29"/>
      <c r="E2467" s="29"/>
      <c r="H2467" s="27"/>
      <c r="K2467"/>
      <c r="P2467" s="27"/>
      <c r="Q2467" s="27"/>
      <c r="R2467" s="27"/>
    </row>
    <row r="2468" spans="1:18">
      <c r="A2468" s="28"/>
      <c r="B2468" s="29"/>
      <c r="C2468" s="29"/>
      <c r="D2468" s="29"/>
      <c r="E2468" s="29"/>
      <c r="H2468" s="27"/>
      <c r="K2468"/>
      <c r="P2468" s="27"/>
      <c r="Q2468" s="27"/>
      <c r="R2468" s="27"/>
    </row>
    <row r="2469" spans="1:18">
      <c r="A2469" s="28"/>
      <c r="B2469" s="29"/>
      <c r="C2469" s="29"/>
      <c r="D2469" s="29"/>
      <c r="E2469" s="29"/>
      <c r="H2469" s="27"/>
      <c r="K2469"/>
      <c r="P2469" s="27"/>
      <c r="Q2469" s="27"/>
      <c r="R2469" s="27"/>
    </row>
    <row r="2470" spans="1:18">
      <c r="A2470" s="28"/>
      <c r="B2470" s="29"/>
      <c r="C2470" s="29"/>
      <c r="D2470" s="29"/>
      <c r="E2470" s="29"/>
      <c r="H2470" s="27"/>
      <c r="K2470"/>
      <c r="P2470" s="27"/>
      <c r="Q2470" s="27"/>
      <c r="R2470" s="27"/>
    </row>
    <row r="2471" spans="1:18">
      <c r="A2471" s="28"/>
      <c r="B2471" s="29"/>
      <c r="C2471" s="29"/>
      <c r="D2471" s="29"/>
      <c r="E2471" s="29"/>
      <c r="H2471" s="27"/>
      <c r="K2471"/>
      <c r="P2471" s="27"/>
      <c r="Q2471" s="27"/>
      <c r="R2471" s="27"/>
    </row>
    <row r="2472" spans="1:18">
      <c r="A2472" s="28"/>
      <c r="B2472" s="29"/>
      <c r="C2472" s="29"/>
      <c r="D2472" s="29"/>
      <c r="E2472" s="29"/>
      <c r="H2472" s="27"/>
      <c r="K2472"/>
      <c r="P2472" s="27"/>
      <c r="Q2472" s="27"/>
      <c r="R2472" s="27"/>
    </row>
    <row r="2473" spans="1:18">
      <c r="A2473" s="28"/>
      <c r="B2473" s="29"/>
      <c r="C2473" s="29"/>
      <c r="D2473" s="29"/>
      <c r="E2473" s="29"/>
      <c r="H2473" s="27"/>
      <c r="K2473"/>
      <c r="P2473" s="27"/>
      <c r="Q2473" s="27"/>
      <c r="R2473" s="27"/>
    </row>
    <row r="2474" spans="1:18">
      <c r="A2474" s="28"/>
      <c r="B2474" s="29"/>
      <c r="C2474" s="29"/>
      <c r="D2474" s="29"/>
      <c r="E2474" s="29"/>
      <c r="H2474" s="27"/>
      <c r="K2474"/>
      <c r="P2474" s="27"/>
      <c r="Q2474" s="27"/>
      <c r="R2474" s="27"/>
    </row>
    <row r="2475" spans="1:18">
      <c r="A2475" s="28"/>
      <c r="B2475" s="29"/>
      <c r="C2475" s="29"/>
      <c r="D2475" s="29"/>
      <c r="E2475" s="29"/>
      <c r="H2475" s="27"/>
      <c r="K2475"/>
      <c r="P2475" s="27"/>
      <c r="Q2475" s="27"/>
      <c r="R2475" s="27"/>
    </row>
    <row r="2476" spans="1:18">
      <c r="A2476" s="28"/>
      <c r="B2476" s="29"/>
      <c r="C2476" s="29"/>
      <c r="D2476" s="29"/>
      <c r="E2476" s="29"/>
      <c r="H2476" s="27"/>
      <c r="K2476"/>
      <c r="P2476" s="27"/>
      <c r="Q2476" s="27"/>
      <c r="R2476" s="27"/>
    </row>
    <row r="2477" spans="1:18">
      <c r="A2477" s="28"/>
      <c r="B2477" s="29"/>
      <c r="C2477" s="29"/>
      <c r="D2477" s="29"/>
      <c r="E2477" s="29"/>
      <c r="H2477" s="27"/>
      <c r="K2477"/>
      <c r="P2477" s="27"/>
      <c r="Q2477" s="27"/>
      <c r="R2477" s="27"/>
    </row>
    <row r="2478" spans="1:18">
      <c r="A2478" s="28"/>
      <c r="B2478" s="29"/>
      <c r="C2478" s="29"/>
      <c r="D2478" s="29"/>
      <c r="E2478" s="29"/>
      <c r="H2478" s="27"/>
      <c r="K2478"/>
      <c r="P2478" s="27"/>
      <c r="Q2478" s="27"/>
      <c r="R2478" s="27"/>
    </row>
    <row r="2479" spans="1:18">
      <c r="A2479" s="28"/>
      <c r="B2479" s="29"/>
      <c r="C2479" s="29"/>
      <c r="D2479" s="29"/>
      <c r="E2479" s="29"/>
      <c r="H2479" s="27"/>
      <c r="K2479"/>
      <c r="P2479" s="27"/>
      <c r="Q2479" s="27"/>
      <c r="R2479" s="27"/>
    </row>
    <row r="2480" spans="1:18">
      <c r="A2480" s="28"/>
      <c r="B2480" s="29"/>
      <c r="C2480" s="29"/>
      <c r="D2480" s="29"/>
      <c r="E2480" s="29"/>
      <c r="H2480" s="27"/>
      <c r="K2480"/>
      <c r="P2480" s="27"/>
      <c r="Q2480" s="27"/>
      <c r="R2480" s="27"/>
    </row>
    <row r="2481" spans="1:18">
      <c r="A2481" s="28"/>
      <c r="B2481" s="29"/>
      <c r="C2481" s="29"/>
      <c r="D2481" s="29"/>
      <c r="E2481" s="29"/>
      <c r="H2481" s="27"/>
      <c r="K2481"/>
      <c r="P2481" s="27"/>
      <c r="Q2481" s="27"/>
      <c r="R2481" s="27"/>
    </row>
    <row r="2482" spans="1:18">
      <c r="A2482" s="28"/>
      <c r="B2482" s="29"/>
      <c r="C2482" s="29"/>
      <c r="D2482" s="29"/>
      <c r="E2482" s="29"/>
      <c r="H2482" s="27"/>
      <c r="K2482"/>
      <c r="P2482" s="27"/>
      <c r="Q2482" s="27"/>
      <c r="R2482" s="27"/>
    </row>
    <row r="2483" spans="1:18">
      <c r="A2483" s="28"/>
      <c r="B2483" s="29"/>
      <c r="C2483" s="29"/>
      <c r="D2483" s="29"/>
      <c r="E2483" s="29"/>
      <c r="H2483" s="27"/>
      <c r="K2483"/>
      <c r="P2483" s="27"/>
      <c r="Q2483" s="27"/>
      <c r="R2483" s="27"/>
    </row>
    <row r="2484" spans="1:18">
      <c r="A2484" s="28"/>
      <c r="B2484" s="29"/>
      <c r="C2484" s="29"/>
      <c r="D2484" s="29"/>
      <c r="E2484" s="29"/>
      <c r="H2484" s="27"/>
      <c r="K2484"/>
      <c r="P2484" s="27"/>
      <c r="Q2484" s="27"/>
      <c r="R2484" s="27"/>
    </row>
    <row r="2485" spans="1:18">
      <c r="A2485" s="28"/>
      <c r="B2485" s="29"/>
      <c r="C2485" s="29"/>
      <c r="D2485" s="29"/>
      <c r="E2485" s="29"/>
      <c r="H2485" s="27"/>
      <c r="K2485"/>
      <c r="P2485" s="27"/>
      <c r="Q2485" s="27"/>
      <c r="R2485" s="27"/>
    </row>
    <row r="2486" spans="1:18">
      <c r="A2486" s="28"/>
      <c r="B2486" s="29"/>
      <c r="C2486" s="29"/>
      <c r="D2486" s="29"/>
      <c r="E2486" s="29"/>
      <c r="H2486" s="27"/>
      <c r="K2486"/>
      <c r="P2486" s="27"/>
      <c r="Q2486" s="27"/>
      <c r="R2486" s="27"/>
    </row>
    <row r="2487" spans="1:18">
      <c r="A2487" s="28"/>
      <c r="B2487" s="29"/>
      <c r="C2487" s="29"/>
      <c r="D2487" s="29"/>
      <c r="E2487" s="29"/>
      <c r="H2487" s="27"/>
      <c r="K2487"/>
      <c r="P2487" s="27"/>
      <c r="Q2487" s="27"/>
      <c r="R2487" s="27"/>
    </row>
    <row r="2488" spans="1:18">
      <c r="A2488" s="28"/>
      <c r="B2488" s="29"/>
      <c r="C2488" s="29"/>
      <c r="D2488" s="29"/>
      <c r="E2488" s="29"/>
      <c r="H2488" s="27"/>
      <c r="K2488"/>
      <c r="P2488" s="27"/>
      <c r="Q2488" s="27"/>
      <c r="R2488" s="27"/>
    </row>
    <row r="2489" spans="1:18">
      <c r="A2489" s="28"/>
      <c r="B2489" s="29"/>
      <c r="C2489" s="29"/>
      <c r="D2489" s="29"/>
      <c r="E2489" s="29"/>
      <c r="H2489" s="27"/>
      <c r="K2489"/>
      <c r="P2489" s="27"/>
      <c r="Q2489" s="27"/>
      <c r="R2489" s="27"/>
    </row>
    <row r="2490" spans="1:18">
      <c r="A2490" s="28"/>
      <c r="B2490" s="29"/>
      <c r="C2490" s="29"/>
      <c r="D2490" s="29"/>
      <c r="E2490" s="29"/>
      <c r="H2490" s="27"/>
      <c r="K2490"/>
      <c r="P2490" s="27"/>
      <c r="Q2490" s="27"/>
      <c r="R2490" s="27"/>
    </row>
    <row r="2491" spans="1:18">
      <c r="A2491" s="28"/>
      <c r="B2491" s="29"/>
      <c r="C2491" s="29"/>
      <c r="D2491" s="29"/>
      <c r="E2491" s="29"/>
      <c r="H2491" s="27"/>
      <c r="K2491"/>
      <c r="P2491" s="27"/>
      <c r="Q2491" s="27"/>
      <c r="R2491" s="27"/>
    </row>
    <row r="2492" spans="1:18">
      <c r="A2492" s="28"/>
      <c r="B2492" s="29"/>
      <c r="C2492" s="29"/>
      <c r="D2492" s="29"/>
      <c r="E2492" s="29"/>
      <c r="H2492" s="27"/>
      <c r="K2492"/>
      <c r="P2492" s="27"/>
      <c r="Q2492" s="27"/>
      <c r="R2492" s="27"/>
    </row>
    <row r="2493" spans="1:18">
      <c r="A2493" s="28"/>
      <c r="B2493" s="29"/>
      <c r="C2493" s="29"/>
      <c r="D2493" s="29"/>
      <c r="E2493" s="29"/>
      <c r="H2493" s="27"/>
      <c r="K2493"/>
      <c r="P2493" s="27"/>
      <c r="Q2493" s="27"/>
      <c r="R2493" s="27"/>
    </row>
    <row r="2494" spans="1:18">
      <c r="A2494" s="28"/>
      <c r="B2494" s="29"/>
      <c r="C2494" s="29"/>
      <c r="D2494" s="29"/>
      <c r="E2494" s="29"/>
      <c r="H2494" s="27"/>
      <c r="K2494"/>
      <c r="P2494" s="27"/>
      <c r="Q2494" s="27"/>
      <c r="R2494" s="27"/>
    </row>
    <row r="2495" spans="1:18">
      <c r="A2495" s="28"/>
      <c r="B2495" s="29"/>
      <c r="C2495" s="29"/>
      <c r="D2495" s="29"/>
      <c r="E2495" s="29"/>
      <c r="H2495" s="27"/>
      <c r="K2495"/>
      <c r="P2495" s="27"/>
      <c r="Q2495" s="27"/>
      <c r="R2495" s="27"/>
    </row>
    <row r="2496" spans="1:18">
      <c r="A2496" s="28"/>
      <c r="B2496" s="29"/>
      <c r="C2496" s="29"/>
      <c r="D2496" s="29"/>
      <c r="E2496" s="29"/>
      <c r="H2496" s="27"/>
      <c r="K2496"/>
      <c r="P2496" s="27"/>
      <c r="Q2496" s="27"/>
      <c r="R2496" s="27"/>
    </row>
    <row r="2497" spans="1:18">
      <c r="A2497" s="28"/>
      <c r="B2497" s="29"/>
      <c r="C2497" s="29"/>
      <c r="D2497" s="29"/>
      <c r="E2497" s="29"/>
      <c r="H2497" s="27"/>
      <c r="K2497"/>
      <c r="P2497" s="27"/>
      <c r="Q2497" s="27"/>
      <c r="R2497" s="27"/>
    </row>
    <row r="2498" spans="1:18">
      <c r="A2498" s="28"/>
      <c r="B2498" s="29"/>
      <c r="C2498" s="29"/>
      <c r="D2498" s="29"/>
      <c r="E2498" s="29"/>
      <c r="H2498" s="27"/>
      <c r="K2498"/>
      <c r="P2498" s="27"/>
      <c r="Q2498" s="27"/>
      <c r="R2498" s="27"/>
    </row>
    <row r="2499" spans="1:18">
      <c r="A2499" s="28"/>
      <c r="B2499" s="29"/>
      <c r="C2499" s="29"/>
      <c r="D2499" s="29"/>
      <c r="E2499" s="29"/>
      <c r="H2499" s="27"/>
      <c r="K2499"/>
      <c r="P2499" s="27"/>
      <c r="Q2499" s="27"/>
      <c r="R2499" s="27"/>
    </row>
    <row r="2500" spans="1:18">
      <c r="A2500" s="28"/>
      <c r="B2500" s="29"/>
      <c r="C2500" s="29"/>
      <c r="D2500" s="29"/>
      <c r="E2500" s="29"/>
      <c r="H2500" s="27"/>
      <c r="K2500"/>
      <c r="P2500" s="27"/>
      <c r="Q2500" s="27"/>
      <c r="R2500" s="27"/>
    </row>
    <row r="2501" spans="1:18">
      <c r="A2501" s="28"/>
      <c r="B2501" s="29"/>
      <c r="C2501" s="29"/>
      <c r="D2501" s="29"/>
      <c r="E2501" s="29"/>
      <c r="H2501" s="27"/>
      <c r="K2501"/>
      <c r="P2501" s="27"/>
      <c r="Q2501" s="27"/>
      <c r="R2501" s="27"/>
    </row>
    <row r="2502" spans="1:18">
      <c r="A2502" s="28"/>
      <c r="B2502" s="29"/>
      <c r="C2502" s="29"/>
      <c r="D2502" s="29"/>
      <c r="E2502" s="29"/>
      <c r="H2502" s="27"/>
      <c r="K2502"/>
      <c r="P2502" s="27"/>
      <c r="Q2502" s="27"/>
      <c r="R2502" s="27"/>
    </row>
    <row r="2503" spans="1:18">
      <c r="A2503" s="28"/>
      <c r="B2503" s="29"/>
      <c r="C2503" s="29"/>
      <c r="D2503" s="29"/>
      <c r="E2503" s="29"/>
      <c r="H2503" s="27"/>
      <c r="K2503"/>
      <c r="P2503" s="27"/>
      <c r="Q2503" s="27"/>
      <c r="R2503" s="27"/>
    </row>
    <row r="2504" spans="1:18">
      <c r="A2504" s="28"/>
      <c r="B2504" s="29"/>
      <c r="C2504" s="29"/>
      <c r="D2504" s="29"/>
      <c r="E2504" s="29"/>
      <c r="H2504" s="27"/>
      <c r="K2504"/>
      <c r="P2504" s="27"/>
      <c r="Q2504" s="27"/>
      <c r="R2504" s="27"/>
    </row>
    <row r="2505" spans="1:18">
      <c r="A2505" s="28"/>
      <c r="B2505" s="29"/>
      <c r="C2505" s="29"/>
      <c r="D2505" s="29"/>
      <c r="E2505" s="29"/>
      <c r="H2505" s="27"/>
      <c r="K2505"/>
      <c r="P2505" s="27"/>
      <c r="Q2505" s="27"/>
      <c r="R2505" s="27"/>
    </row>
    <row r="2506" spans="1:18">
      <c r="A2506" s="28"/>
      <c r="B2506" s="29"/>
      <c r="C2506" s="29"/>
      <c r="D2506" s="29"/>
      <c r="E2506" s="29"/>
      <c r="H2506" s="27"/>
      <c r="K2506"/>
      <c r="P2506" s="27"/>
      <c r="Q2506" s="27"/>
      <c r="R2506" s="27"/>
    </row>
    <row r="2507" spans="1:18">
      <c r="A2507" s="28"/>
      <c r="B2507" s="29"/>
      <c r="C2507" s="29"/>
      <c r="D2507" s="29"/>
      <c r="E2507" s="29"/>
      <c r="H2507" s="27"/>
      <c r="K2507"/>
      <c r="P2507" s="27"/>
      <c r="Q2507" s="27"/>
      <c r="R2507" s="27"/>
    </row>
    <row r="2508" spans="1:18">
      <c r="A2508" s="28"/>
      <c r="B2508" s="29"/>
      <c r="C2508" s="29"/>
      <c r="D2508" s="29"/>
      <c r="E2508" s="29"/>
      <c r="H2508" s="27"/>
      <c r="K2508"/>
      <c r="P2508" s="27"/>
      <c r="Q2508" s="27"/>
      <c r="R2508" s="27"/>
    </row>
    <row r="2509" spans="1:18">
      <c r="A2509" s="28"/>
      <c r="B2509" s="29"/>
      <c r="C2509" s="29"/>
      <c r="D2509" s="29"/>
      <c r="E2509" s="29"/>
      <c r="H2509" s="27"/>
      <c r="K2509"/>
      <c r="P2509" s="27"/>
      <c r="Q2509" s="27"/>
      <c r="R2509" s="27"/>
    </row>
    <row r="2510" spans="1:18">
      <c r="A2510" s="28"/>
      <c r="B2510" s="29"/>
      <c r="C2510" s="29"/>
      <c r="D2510" s="29"/>
      <c r="E2510" s="29"/>
      <c r="H2510" s="27"/>
      <c r="K2510"/>
      <c r="P2510" s="27"/>
      <c r="Q2510" s="27"/>
      <c r="R2510" s="27"/>
    </row>
    <row r="2511" spans="1:18">
      <c r="A2511" s="28"/>
      <c r="B2511" s="29"/>
      <c r="C2511" s="29"/>
      <c r="D2511" s="29"/>
      <c r="E2511" s="29"/>
      <c r="H2511" s="27"/>
      <c r="K2511"/>
      <c r="P2511" s="27"/>
      <c r="Q2511" s="27"/>
      <c r="R2511" s="27"/>
    </row>
    <row r="2512" spans="1:18">
      <c r="A2512" s="28"/>
      <c r="B2512" s="29"/>
      <c r="C2512" s="29"/>
      <c r="D2512" s="29"/>
      <c r="E2512" s="29"/>
      <c r="H2512" s="27"/>
      <c r="K2512"/>
      <c r="P2512" s="27"/>
      <c r="Q2512" s="27"/>
      <c r="R2512" s="27"/>
    </row>
    <row r="2513" spans="1:18">
      <c r="A2513" s="28"/>
      <c r="B2513" s="29"/>
      <c r="C2513" s="29"/>
      <c r="D2513" s="29"/>
      <c r="E2513" s="29"/>
      <c r="H2513" s="27"/>
      <c r="K2513"/>
      <c r="P2513" s="27"/>
      <c r="Q2513" s="27"/>
      <c r="R2513" s="27"/>
    </row>
    <row r="2514" spans="1:18">
      <c r="A2514" s="28"/>
      <c r="B2514" s="29"/>
      <c r="C2514" s="29"/>
      <c r="D2514" s="29"/>
      <c r="E2514" s="29"/>
      <c r="H2514" s="27"/>
      <c r="K2514"/>
      <c r="P2514" s="27"/>
      <c r="Q2514" s="27"/>
      <c r="R2514" s="27"/>
    </row>
    <row r="2515" spans="1:18">
      <c r="A2515" s="28"/>
      <c r="B2515" s="29"/>
      <c r="C2515" s="29"/>
      <c r="D2515" s="29"/>
      <c r="E2515" s="29"/>
      <c r="H2515" s="27"/>
      <c r="K2515"/>
      <c r="P2515" s="27"/>
      <c r="Q2515" s="27"/>
      <c r="R2515" s="27"/>
    </row>
    <row r="2516" spans="1:18">
      <c r="A2516" s="28"/>
      <c r="B2516" s="29"/>
      <c r="C2516" s="29"/>
      <c r="D2516" s="29"/>
      <c r="E2516" s="29"/>
      <c r="H2516" s="27"/>
      <c r="K2516"/>
      <c r="P2516" s="27"/>
      <c r="Q2516" s="27"/>
      <c r="R2516" s="27"/>
    </row>
    <row r="2517" spans="1:18">
      <c r="A2517" s="28"/>
      <c r="B2517" s="29"/>
      <c r="C2517" s="29"/>
      <c r="D2517" s="29"/>
      <c r="E2517" s="29"/>
      <c r="H2517" s="27"/>
      <c r="K2517"/>
      <c r="P2517" s="27"/>
      <c r="Q2517" s="27"/>
      <c r="R2517" s="27"/>
    </row>
    <row r="2518" spans="1:18">
      <c r="A2518" s="28"/>
      <c r="B2518" s="29"/>
      <c r="C2518" s="29"/>
      <c r="D2518" s="29"/>
      <c r="E2518" s="29"/>
      <c r="H2518" s="27"/>
      <c r="K2518"/>
      <c r="P2518" s="27"/>
      <c r="Q2518" s="27"/>
      <c r="R2518" s="27"/>
    </row>
    <row r="2519" spans="1:18">
      <c r="A2519" s="28"/>
      <c r="B2519" s="29"/>
      <c r="C2519" s="29"/>
      <c r="D2519" s="29"/>
      <c r="E2519" s="29"/>
      <c r="H2519" s="27"/>
      <c r="K2519"/>
      <c r="P2519" s="27"/>
      <c r="Q2519" s="27"/>
      <c r="R2519" s="27"/>
    </row>
    <row r="2520" spans="1:18">
      <c r="A2520" s="28"/>
      <c r="B2520" s="29"/>
      <c r="C2520" s="29"/>
      <c r="D2520" s="29"/>
      <c r="E2520" s="29"/>
      <c r="H2520" s="27"/>
      <c r="K2520"/>
      <c r="P2520" s="27"/>
      <c r="Q2520" s="27"/>
      <c r="R2520" s="27"/>
    </row>
    <row r="2521" spans="1:18">
      <c r="A2521" s="28"/>
      <c r="B2521" s="29"/>
      <c r="C2521" s="29"/>
      <c r="D2521" s="29"/>
      <c r="E2521" s="29"/>
      <c r="H2521" s="27"/>
      <c r="K2521"/>
      <c r="P2521" s="27"/>
      <c r="Q2521" s="27"/>
      <c r="R2521" s="27"/>
    </row>
    <row r="2522" spans="1:18">
      <c r="A2522" s="28"/>
      <c r="B2522" s="29"/>
      <c r="C2522" s="29"/>
      <c r="D2522" s="29"/>
      <c r="E2522" s="29"/>
      <c r="H2522" s="27"/>
      <c r="K2522"/>
      <c r="P2522" s="27"/>
      <c r="Q2522" s="27"/>
      <c r="R2522" s="27"/>
    </row>
    <row r="2523" spans="1:18">
      <c r="A2523" s="28"/>
      <c r="B2523" s="29"/>
      <c r="C2523" s="29"/>
      <c r="D2523" s="29"/>
      <c r="E2523" s="29"/>
      <c r="H2523" s="27"/>
      <c r="K2523"/>
      <c r="P2523" s="27"/>
      <c r="Q2523" s="27"/>
      <c r="R2523" s="27"/>
    </row>
    <row r="2524" spans="1:18">
      <c r="A2524" s="28"/>
      <c r="B2524" s="29"/>
      <c r="C2524" s="29"/>
      <c r="D2524" s="29"/>
      <c r="E2524" s="29"/>
      <c r="H2524" s="27"/>
      <c r="K2524"/>
      <c r="P2524" s="27"/>
      <c r="Q2524" s="27"/>
      <c r="R2524" s="27"/>
    </row>
    <row r="2525" spans="1:18">
      <c r="A2525" s="28"/>
      <c r="B2525" s="29"/>
      <c r="C2525" s="29"/>
      <c r="D2525" s="29"/>
      <c r="E2525" s="29"/>
      <c r="H2525" s="27"/>
      <c r="K2525"/>
      <c r="P2525" s="27"/>
      <c r="Q2525" s="27"/>
      <c r="R2525" s="27"/>
    </row>
    <row r="2526" spans="1:18">
      <c r="A2526" s="28"/>
      <c r="B2526" s="29"/>
      <c r="C2526" s="29"/>
      <c r="D2526" s="29"/>
      <c r="E2526" s="29"/>
      <c r="H2526" s="27"/>
      <c r="K2526"/>
      <c r="P2526" s="27"/>
      <c r="Q2526" s="27"/>
      <c r="R2526" s="27"/>
    </row>
    <row r="2527" spans="1:18">
      <c r="A2527" s="28"/>
      <c r="B2527" s="29"/>
      <c r="C2527" s="29"/>
      <c r="D2527" s="29"/>
      <c r="E2527" s="29"/>
      <c r="H2527" s="27"/>
      <c r="K2527"/>
      <c r="P2527" s="27"/>
      <c r="Q2527" s="27"/>
      <c r="R2527" s="27"/>
    </row>
    <row r="2528" spans="1:18">
      <c r="A2528" s="28"/>
      <c r="B2528" s="29"/>
      <c r="C2528" s="29"/>
      <c r="D2528" s="29"/>
      <c r="E2528" s="29"/>
      <c r="H2528" s="27"/>
      <c r="K2528"/>
      <c r="P2528" s="27"/>
      <c r="Q2528" s="27"/>
      <c r="R2528" s="27"/>
    </row>
    <row r="2529" spans="1:18">
      <c r="A2529" s="28"/>
      <c r="B2529" s="29"/>
      <c r="C2529" s="29"/>
      <c r="D2529" s="29"/>
      <c r="E2529" s="29"/>
      <c r="H2529" s="27"/>
      <c r="K2529"/>
      <c r="P2529" s="27"/>
      <c r="Q2529" s="27"/>
      <c r="R2529" s="27"/>
    </row>
    <row r="2530" spans="1:18">
      <c r="A2530" s="28"/>
      <c r="B2530" s="29"/>
      <c r="C2530" s="29"/>
      <c r="D2530" s="29"/>
      <c r="E2530" s="29"/>
      <c r="H2530" s="27"/>
      <c r="K2530"/>
      <c r="P2530" s="27"/>
      <c r="Q2530" s="27"/>
      <c r="R2530" s="27"/>
    </row>
    <row r="2531" spans="1:18">
      <c r="A2531" s="28"/>
      <c r="B2531" s="29"/>
      <c r="C2531" s="29"/>
      <c r="D2531" s="29"/>
      <c r="E2531" s="29"/>
      <c r="H2531" s="27"/>
      <c r="K2531"/>
      <c r="P2531" s="27"/>
      <c r="Q2531" s="27"/>
      <c r="R2531" s="27"/>
    </row>
    <row r="2532" spans="1:18">
      <c r="A2532" s="28"/>
      <c r="B2532" s="29"/>
      <c r="C2532" s="29"/>
      <c r="D2532" s="29"/>
      <c r="E2532" s="29"/>
      <c r="H2532" s="27"/>
      <c r="K2532"/>
      <c r="P2532" s="27"/>
      <c r="Q2532" s="27"/>
      <c r="R2532" s="27"/>
    </row>
    <row r="2533" spans="1:18">
      <c r="A2533" s="28"/>
      <c r="B2533" s="29"/>
      <c r="C2533" s="29"/>
      <c r="D2533" s="29"/>
      <c r="E2533" s="29"/>
      <c r="H2533" s="27"/>
      <c r="K2533"/>
      <c r="P2533" s="27"/>
      <c r="Q2533" s="27"/>
      <c r="R2533" s="27"/>
    </row>
    <row r="2534" spans="1:18">
      <c r="A2534" s="28"/>
      <c r="B2534" s="29"/>
      <c r="C2534" s="29"/>
      <c r="D2534" s="29"/>
      <c r="E2534" s="29"/>
      <c r="H2534" s="27"/>
      <c r="K2534"/>
      <c r="P2534" s="27"/>
      <c r="Q2534" s="27"/>
      <c r="R2534" s="27"/>
    </row>
    <row r="2535" spans="1:18">
      <c r="A2535" s="28"/>
      <c r="B2535" s="29"/>
      <c r="C2535" s="29"/>
      <c r="D2535" s="29"/>
      <c r="E2535" s="29"/>
      <c r="H2535" s="27"/>
      <c r="K2535"/>
      <c r="P2535" s="27"/>
      <c r="Q2535" s="27"/>
      <c r="R2535" s="27"/>
    </row>
    <row r="2536" spans="1:18">
      <c r="A2536" s="28"/>
      <c r="B2536" s="29"/>
      <c r="C2536" s="29"/>
      <c r="D2536" s="29"/>
      <c r="E2536" s="29"/>
      <c r="H2536" s="27"/>
      <c r="K2536"/>
      <c r="P2536" s="27"/>
      <c r="Q2536" s="27"/>
      <c r="R2536" s="27"/>
    </row>
    <row r="2537" spans="1:18">
      <c r="A2537" s="28"/>
      <c r="B2537" s="29"/>
      <c r="C2537" s="29"/>
      <c r="D2537" s="29"/>
      <c r="E2537" s="29"/>
      <c r="H2537" s="27"/>
      <c r="K2537"/>
      <c r="P2537" s="27"/>
      <c r="Q2537" s="27"/>
      <c r="R2537" s="27"/>
    </row>
    <row r="2538" spans="1:18">
      <c r="A2538" s="28"/>
      <c r="B2538" s="29"/>
      <c r="C2538" s="29"/>
      <c r="D2538" s="29"/>
      <c r="E2538" s="29"/>
      <c r="H2538" s="27"/>
      <c r="K2538"/>
      <c r="P2538" s="27"/>
      <c r="Q2538" s="27"/>
      <c r="R2538" s="27"/>
    </row>
    <row r="2539" spans="1:18">
      <c r="A2539" s="28"/>
      <c r="B2539" s="29"/>
      <c r="C2539" s="29"/>
      <c r="D2539" s="29"/>
      <c r="E2539" s="29"/>
      <c r="H2539" s="27"/>
      <c r="K2539"/>
      <c r="P2539" s="27"/>
      <c r="Q2539" s="27"/>
      <c r="R2539" s="27"/>
    </row>
    <row r="2540" spans="1:18">
      <c r="A2540" s="28"/>
      <c r="B2540" s="29"/>
      <c r="C2540" s="29"/>
      <c r="D2540" s="29"/>
      <c r="E2540" s="29"/>
      <c r="H2540" s="27"/>
      <c r="K2540"/>
      <c r="P2540" s="27"/>
      <c r="Q2540" s="27"/>
      <c r="R2540" s="27"/>
    </row>
    <row r="2541" spans="1:18">
      <c r="A2541" s="28"/>
      <c r="B2541" s="29"/>
      <c r="C2541" s="29"/>
      <c r="D2541" s="29"/>
      <c r="E2541" s="29"/>
      <c r="H2541" s="27"/>
      <c r="K2541"/>
      <c r="P2541" s="27"/>
      <c r="Q2541" s="27"/>
      <c r="R2541" s="27"/>
    </row>
    <row r="2542" spans="1:18">
      <c r="A2542" s="28"/>
      <c r="B2542" s="29"/>
      <c r="C2542" s="29"/>
      <c r="D2542" s="29"/>
      <c r="E2542" s="29"/>
      <c r="H2542" s="27"/>
      <c r="K2542"/>
      <c r="P2542" s="27"/>
      <c r="Q2542" s="27"/>
      <c r="R2542" s="27"/>
    </row>
    <row r="2543" spans="1:18">
      <c r="A2543" s="28"/>
      <c r="B2543" s="29"/>
      <c r="C2543" s="29"/>
      <c r="D2543" s="29"/>
      <c r="E2543" s="29"/>
      <c r="H2543" s="27"/>
      <c r="K2543"/>
      <c r="P2543" s="27"/>
      <c r="Q2543" s="27"/>
      <c r="R2543" s="27"/>
    </row>
    <row r="2544" spans="1:18">
      <c r="A2544" s="28"/>
      <c r="B2544" s="29"/>
      <c r="C2544" s="29"/>
      <c r="D2544" s="29"/>
      <c r="E2544" s="29"/>
      <c r="H2544" s="27"/>
      <c r="K2544"/>
      <c r="P2544" s="27"/>
      <c r="Q2544" s="27"/>
      <c r="R2544" s="27"/>
    </row>
    <row r="2545" spans="1:18">
      <c r="A2545" s="28"/>
      <c r="B2545" s="29"/>
      <c r="C2545" s="29"/>
      <c r="D2545" s="29"/>
      <c r="E2545" s="29"/>
      <c r="H2545" s="27"/>
      <c r="K2545"/>
      <c r="P2545" s="27"/>
      <c r="Q2545" s="27"/>
      <c r="R2545" s="27"/>
    </row>
    <row r="2546" spans="1:18">
      <c r="A2546" s="28"/>
      <c r="B2546" s="29"/>
      <c r="C2546" s="29"/>
      <c r="D2546" s="29"/>
      <c r="E2546" s="29"/>
      <c r="H2546" s="27"/>
      <c r="K2546"/>
      <c r="P2546" s="27"/>
      <c r="Q2546" s="27"/>
      <c r="R2546" s="27"/>
    </row>
    <row r="2547" spans="1:18">
      <c r="A2547" s="28"/>
      <c r="B2547" s="29"/>
      <c r="C2547" s="29"/>
      <c r="D2547" s="29"/>
      <c r="E2547" s="29"/>
      <c r="H2547" s="27"/>
      <c r="K2547"/>
      <c r="P2547" s="27"/>
      <c r="Q2547" s="27"/>
      <c r="R2547" s="27"/>
    </row>
    <row r="2548" spans="1:18">
      <c r="A2548" s="28"/>
      <c r="B2548" s="29"/>
      <c r="C2548" s="29"/>
      <c r="D2548" s="29"/>
      <c r="E2548" s="29"/>
      <c r="H2548" s="27"/>
      <c r="K2548"/>
      <c r="P2548" s="27"/>
      <c r="Q2548" s="27"/>
      <c r="R2548" s="27"/>
    </row>
    <row r="2549" spans="1:18">
      <c r="A2549" s="28"/>
      <c r="B2549" s="29"/>
      <c r="C2549" s="29"/>
      <c r="D2549" s="29"/>
      <c r="E2549" s="29"/>
      <c r="H2549" s="27"/>
      <c r="K2549"/>
      <c r="P2549" s="27"/>
      <c r="Q2549" s="27"/>
      <c r="R2549" s="27"/>
    </row>
    <row r="2550" spans="1:18">
      <c r="A2550" s="28"/>
      <c r="B2550" s="29"/>
      <c r="C2550" s="29"/>
      <c r="D2550" s="29"/>
      <c r="E2550" s="29"/>
      <c r="H2550" s="27"/>
      <c r="K2550"/>
      <c r="P2550" s="27"/>
      <c r="Q2550" s="27"/>
      <c r="R2550" s="27"/>
    </row>
    <row r="2551" spans="1:18">
      <c r="A2551" s="28"/>
      <c r="B2551" s="29"/>
      <c r="C2551" s="29"/>
      <c r="D2551" s="29"/>
      <c r="E2551" s="29"/>
      <c r="H2551" s="27"/>
      <c r="K2551"/>
      <c r="P2551" s="27"/>
      <c r="Q2551" s="27"/>
      <c r="R2551" s="27"/>
    </row>
    <row r="2552" spans="1:18">
      <c r="A2552" s="28"/>
      <c r="B2552" s="29"/>
      <c r="C2552" s="29"/>
      <c r="D2552" s="29"/>
      <c r="E2552" s="29"/>
      <c r="H2552" s="27"/>
      <c r="K2552"/>
      <c r="P2552" s="27"/>
      <c r="Q2552" s="27"/>
      <c r="R2552" s="27"/>
    </row>
    <row r="2553" spans="1:18">
      <c r="A2553" s="28"/>
      <c r="B2553" s="29"/>
      <c r="C2553" s="29"/>
      <c r="D2553" s="29"/>
      <c r="E2553" s="29"/>
      <c r="H2553" s="27"/>
      <c r="K2553"/>
      <c r="P2553" s="27"/>
      <c r="Q2553" s="27"/>
      <c r="R2553" s="27"/>
    </row>
    <row r="2554" spans="1:18">
      <c r="A2554" s="28"/>
      <c r="B2554" s="29"/>
      <c r="C2554" s="29"/>
      <c r="D2554" s="29"/>
      <c r="E2554" s="29"/>
      <c r="H2554" s="27"/>
      <c r="K2554"/>
      <c r="P2554" s="27"/>
      <c r="Q2554" s="27"/>
      <c r="R2554" s="27"/>
    </row>
    <row r="2555" spans="1:18">
      <c r="A2555" s="28"/>
      <c r="B2555" s="29"/>
      <c r="C2555" s="29"/>
      <c r="D2555" s="29"/>
      <c r="E2555" s="29"/>
      <c r="H2555" s="27"/>
      <c r="K2555"/>
      <c r="P2555" s="27"/>
      <c r="Q2555" s="27"/>
      <c r="R2555" s="27"/>
    </row>
    <row r="2556" spans="1:18">
      <c r="A2556" s="28"/>
      <c r="B2556" s="29"/>
      <c r="C2556" s="29"/>
      <c r="D2556" s="29"/>
      <c r="E2556" s="29"/>
      <c r="H2556" s="27"/>
      <c r="K2556"/>
      <c r="P2556" s="27"/>
      <c r="Q2556" s="27"/>
      <c r="R2556" s="27"/>
    </row>
    <row r="2557" spans="1:18">
      <c r="A2557" s="28"/>
      <c r="B2557" s="29"/>
      <c r="C2557" s="29"/>
      <c r="D2557" s="29"/>
      <c r="E2557" s="29"/>
      <c r="H2557" s="27"/>
      <c r="K2557"/>
      <c r="P2557" s="27"/>
      <c r="Q2557" s="27"/>
      <c r="R2557" s="27"/>
    </row>
    <row r="2558" spans="1:18">
      <c r="A2558" s="28"/>
      <c r="B2558" s="29"/>
      <c r="C2558" s="29"/>
      <c r="D2558" s="29"/>
      <c r="E2558" s="29"/>
      <c r="H2558" s="27"/>
      <c r="K2558"/>
      <c r="P2558" s="27"/>
      <c r="Q2558" s="27"/>
      <c r="R2558" s="27"/>
    </row>
    <row r="2559" spans="1:18">
      <c r="A2559" s="28"/>
      <c r="B2559" s="29"/>
      <c r="C2559" s="29"/>
      <c r="D2559" s="29"/>
      <c r="E2559" s="29"/>
      <c r="H2559" s="27"/>
      <c r="K2559"/>
      <c r="P2559" s="27"/>
      <c r="Q2559" s="27"/>
      <c r="R2559" s="27"/>
    </row>
    <row r="2560" spans="1:18">
      <c r="A2560" s="28"/>
      <c r="B2560" s="29"/>
      <c r="C2560" s="29"/>
      <c r="D2560" s="29"/>
      <c r="E2560" s="29"/>
      <c r="H2560" s="27"/>
      <c r="K2560"/>
      <c r="P2560" s="27"/>
      <c r="Q2560" s="27"/>
      <c r="R2560" s="27"/>
    </row>
    <row r="2561" spans="1:18">
      <c r="A2561" s="28"/>
      <c r="B2561" s="29"/>
      <c r="C2561" s="29"/>
      <c r="D2561" s="29"/>
      <c r="E2561" s="29"/>
      <c r="H2561" s="27"/>
      <c r="K2561"/>
      <c r="P2561" s="27"/>
      <c r="Q2561" s="27"/>
      <c r="R2561" s="27"/>
    </row>
    <row r="2562" spans="1:18">
      <c r="A2562" s="28"/>
      <c r="B2562" s="29"/>
      <c r="C2562" s="29"/>
      <c r="D2562" s="29"/>
      <c r="E2562" s="29"/>
      <c r="H2562" s="27"/>
      <c r="K2562"/>
      <c r="P2562" s="27"/>
      <c r="Q2562" s="27"/>
      <c r="R2562" s="27"/>
    </row>
    <row r="2563" spans="1:18">
      <c r="A2563" s="28"/>
      <c r="B2563" s="29"/>
      <c r="C2563" s="29"/>
      <c r="D2563" s="29"/>
      <c r="E2563" s="29"/>
      <c r="H2563" s="27"/>
      <c r="K2563"/>
      <c r="P2563" s="27"/>
      <c r="Q2563" s="27"/>
      <c r="R2563" s="27"/>
    </row>
    <row r="2564" spans="1:18">
      <c r="A2564" s="28"/>
      <c r="B2564" s="29"/>
      <c r="C2564" s="29"/>
      <c r="D2564" s="29"/>
      <c r="E2564" s="29"/>
      <c r="H2564" s="27"/>
      <c r="K2564"/>
      <c r="P2564" s="27"/>
      <c r="Q2564" s="27"/>
      <c r="R2564" s="27"/>
    </row>
    <row r="2565" spans="1:18">
      <c r="A2565" s="28"/>
      <c r="B2565" s="29"/>
      <c r="C2565" s="29"/>
      <c r="D2565" s="29"/>
      <c r="E2565" s="29"/>
      <c r="H2565" s="27"/>
      <c r="K2565"/>
      <c r="P2565" s="27"/>
      <c r="Q2565" s="27"/>
      <c r="R2565" s="27"/>
    </row>
    <row r="2566" spans="1:18">
      <c r="A2566" s="28"/>
      <c r="B2566" s="29"/>
      <c r="C2566" s="29"/>
      <c r="D2566" s="29"/>
      <c r="E2566" s="29"/>
      <c r="H2566" s="27"/>
      <c r="K2566"/>
      <c r="P2566" s="27"/>
      <c r="Q2566" s="27"/>
      <c r="R2566" s="27"/>
    </row>
    <row r="2567" spans="1:18">
      <c r="A2567" s="28"/>
      <c r="B2567" s="29"/>
      <c r="C2567" s="29"/>
      <c r="D2567" s="29"/>
      <c r="E2567" s="29"/>
      <c r="H2567" s="27"/>
      <c r="K2567"/>
      <c r="P2567" s="27"/>
      <c r="Q2567" s="27"/>
      <c r="R2567" s="27"/>
    </row>
    <row r="2568" spans="1:18">
      <c r="A2568" s="28"/>
      <c r="B2568" s="29"/>
      <c r="C2568" s="29"/>
      <c r="D2568" s="29"/>
      <c r="E2568" s="29"/>
      <c r="H2568" s="27"/>
      <c r="K2568"/>
      <c r="P2568" s="27"/>
      <c r="Q2568" s="27"/>
      <c r="R2568" s="27"/>
    </row>
    <row r="2569" spans="1:18">
      <c r="A2569" s="28"/>
      <c r="B2569" s="29"/>
      <c r="C2569" s="29"/>
      <c r="D2569" s="29"/>
      <c r="E2569" s="29"/>
      <c r="H2569" s="27"/>
      <c r="K2569"/>
      <c r="P2569" s="27"/>
      <c r="Q2569" s="27"/>
      <c r="R2569" s="27"/>
    </row>
    <row r="2570" spans="1:18">
      <c r="A2570" s="28"/>
      <c r="B2570" s="29"/>
      <c r="C2570" s="29"/>
      <c r="D2570" s="29"/>
      <c r="E2570" s="29"/>
      <c r="H2570" s="27"/>
      <c r="K2570"/>
      <c r="P2570" s="27"/>
      <c r="Q2570" s="27"/>
      <c r="R2570" s="27"/>
    </row>
    <row r="2571" spans="1:18">
      <c r="A2571" s="28"/>
      <c r="B2571" s="29"/>
      <c r="C2571" s="29"/>
      <c r="D2571" s="29"/>
      <c r="E2571" s="29"/>
      <c r="H2571" s="27"/>
      <c r="K2571"/>
      <c r="P2571" s="27"/>
      <c r="Q2571" s="27"/>
      <c r="R2571" s="27"/>
    </row>
    <row r="2572" spans="1:18">
      <c r="A2572" s="28"/>
      <c r="B2572" s="29"/>
      <c r="C2572" s="29"/>
      <c r="D2572" s="29"/>
      <c r="E2572" s="29"/>
      <c r="H2572" s="27"/>
      <c r="K2572"/>
      <c r="P2572" s="27"/>
      <c r="Q2572" s="27"/>
      <c r="R2572" s="27"/>
    </row>
    <row r="2573" spans="1:18">
      <c r="A2573" s="28"/>
      <c r="B2573" s="29"/>
      <c r="C2573" s="29"/>
      <c r="D2573" s="29"/>
      <c r="E2573" s="29"/>
      <c r="H2573" s="27"/>
      <c r="K2573"/>
      <c r="P2573" s="27"/>
      <c r="Q2573" s="27"/>
      <c r="R2573" s="27"/>
    </row>
    <row r="2574" spans="1:18">
      <c r="A2574" s="28"/>
      <c r="B2574" s="29"/>
      <c r="C2574" s="29"/>
      <c r="D2574" s="29"/>
      <c r="E2574" s="29"/>
      <c r="H2574" s="27"/>
      <c r="K2574"/>
      <c r="P2574" s="27"/>
      <c r="Q2574" s="27"/>
      <c r="R2574" s="27"/>
    </row>
    <row r="2575" spans="1:18">
      <c r="A2575" s="28"/>
      <c r="B2575" s="29"/>
      <c r="C2575" s="29"/>
      <c r="D2575" s="29"/>
      <c r="E2575" s="29"/>
      <c r="H2575" s="27"/>
      <c r="K2575"/>
      <c r="P2575" s="27"/>
      <c r="Q2575" s="27"/>
      <c r="R2575" s="27"/>
    </row>
    <row r="2576" spans="1:18">
      <c r="A2576" s="28"/>
      <c r="B2576" s="29"/>
      <c r="C2576" s="29"/>
      <c r="D2576" s="29"/>
      <c r="E2576" s="29"/>
      <c r="H2576" s="27"/>
      <c r="K2576"/>
      <c r="P2576" s="27"/>
      <c r="Q2576" s="27"/>
      <c r="R2576" s="27"/>
    </row>
    <row r="2577" spans="1:18">
      <c r="A2577" s="28"/>
      <c r="B2577" s="29"/>
      <c r="C2577" s="29"/>
      <c r="D2577" s="29"/>
      <c r="E2577" s="29"/>
      <c r="H2577" s="27"/>
      <c r="K2577"/>
      <c r="P2577" s="27"/>
      <c r="Q2577" s="27"/>
      <c r="R2577" s="27"/>
    </row>
    <row r="2578" spans="1:18">
      <c r="A2578" s="28"/>
      <c r="B2578" s="29"/>
      <c r="C2578" s="29"/>
      <c r="D2578" s="29"/>
      <c r="E2578" s="29"/>
      <c r="H2578" s="27"/>
      <c r="K2578"/>
      <c r="P2578" s="27"/>
      <c r="Q2578" s="27"/>
      <c r="R2578" s="27"/>
    </row>
    <row r="2579" spans="1:18">
      <c r="A2579" s="28"/>
      <c r="B2579" s="29"/>
      <c r="C2579" s="29"/>
      <c r="D2579" s="29"/>
      <c r="E2579" s="29"/>
      <c r="H2579" s="27"/>
      <c r="K2579"/>
      <c r="P2579" s="27"/>
      <c r="Q2579" s="27"/>
      <c r="R2579" s="27"/>
    </row>
    <row r="2580" spans="1:18">
      <c r="A2580" s="28"/>
      <c r="B2580" s="29"/>
      <c r="C2580" s="29"/>
      <c r="D2580" s="29"/>
      <c r="E2580" s="29"/>
      <c r="H2580" s="27"/>
      <c r="K2580"/>
      <c r="P2580" s="27"/>
      <c r="Q2580" s="27"/>
      <c r="R2580" s="27"/>
    </row>
    <row r="2581" spans="1:18">
      <c r="A2581" s="28"/>
      <c r="B2581" s="29"/>
      <c r="C2581" s="29"/>
      <c r="D2581" s="29"/>
      <c r="E2581" s="29"/>
      <c r="H2581" s="27"/>
      <c r="K2581"/>
      <c r="P2581" s="27"/>
      <c r="Q2581" s="27"/>
      <c r="R2581" s="27"/>
    </row>
    <row r="2582" spans="1:18">
      <c r="A2582" s="28"/>
      <c r="B2582" s="29"/>
      <c r="C2582" s="29"/>
      <c r="D2582" s="29"/>
      <c r="E2582" s="29"/>
      <c r="H2582" s="27"/>
      <c r="K2582"/>
      <c r="P2582" s="27"/>
      <c r="Q2582" s="27"/>
      <c r="R2582" s="27"/>
    </row>
    <row r="2583" spans="1:18">
      <c r="A2583" s="28"/>
      <c r="B2583" s="29"/>
      <c r="C2583" s="29"/>
      <c r="D2583" s="29"/>
      <c r="E2583" s="29"/>
      <c r="H2583" s="27"/>
      <c r="K2583"/>
      <c r="P2583" s="27"/>
      <c r="Q2583" s="27"/>
      <c r="R2583" s="27"/>
    </row>
    <row r="2584" spans="1:18">
      <c r="A2584" s="28"/>
      <c r="B2584" s="29"/>
      <c r="C2584" s="29"/>
      <c r="D2584" s="29"/>
      <c r="E2584" s="29"/>
      <c r="H2584" s="27"/>
      <c r="K2584"/>
      <c r="P2584" s="27"/>
      <c r="Q2584" s="27"/>
      <c r="R2584" s="27"/>
    </row>
    <row r="2585" spans="1:18">
      <c r="A2585" s="28"/>
      <c r="B2585" s="29"/>
      <c r="C2585" s="29"/>
      <c r="D2585" s="29"/>
      <c r="E2585" s="29"/>
      <c r="H2585" s="27"/>
      <c r="K2585"/>
      <c r="P2585" s="27"/>
      <c r="Q2585" s="27"/>
      <c r="R2585" s="27"/>
    </row>
    <row r="2586" spans="1:18">
      <c r="A2586" s="28"/>
      <c r="B2586" s="29"/>
      <c r="C2586" s="29"/>
      <c r="D2586" s="29"/>
      <c r="E2586" s="29"/>
      <c r="H2586" s="27"/>
      <c r="K2586"/>
      <c r="P2586" s="27"/>
      <c r="Q2586" s="27"/>
      <c r="R2586" s="27"/>
    </row>
    <row r="2587" spans="1:18">
      <c r="A2587" s="28"/>
      <c r="B2587" s="29"/>
      <c r="C2587" s="29"/>
      <c r="D2587" s="29"/>
      <c r="E2587" s="29"/>
      <c r="H2587" s="27"/>
      <c r="K2587"/>
      <c r="P2587" s="27"/>
      <c r="Q2587" s="27"/>
      <c r="R2587" s="27"/>
    </row>
    <row r="2588" spans="1:18">
      <c r="A2588" s="28"/>
      <c r="B2588" s="29"/>
      <c r="C2588" s="29"/>
      <c r="D2588" s="29"/>
      <c r="E2588" s="29"/>
      <c r="H2588" s="27"/>
      <c r="K2588"/>
      <c r="P2588" s="27"/>
      <c r="Q2588" s="27"/>
      <c r="R2588" s="27"/>
    </row>
    <row r="2589" spans="1:18">
      <c r="A2589" s="28"/>
      <c r="B2589" s="29"/>
      <c r="C2589" s="29"/>
      <c r="D2589" s="29"/>
      <c r="E2589" s="29"/>
      <c r="H2589" s="27"/>
      <c r="K2589"/>
      <c r="P2589" s="27"/>
      <c r="Q2589" s="27"/>
      <c r="R2589" s="27"/>
    </row>
    <row r="2590" spans="1:18">
      <c r="A2590" s="28"/>
      <c r="B2590" s="29"/>
      <c r="C2590" s="29"/>
      <c r="D2590" s="29"/>
      <c r="E2590" s="29"/>
      <c r="H2590" s="27"/>
      <c r="K2590"/>
      <c r="P2590" s="27"/>
      <c r="Q2590" s="27"/>
      <c r="R2590" s="27"/>
    </row>
    <row r="2591" spans="1:18">
      <c r="A2591" s="28"/>
      <c r="B2591" s="29"/>
      <c r="C2591" s="29"/>
      <c r="D2591" s="29"/>
      <c r="E2591" s="29"/>
      <c r="H2591" s="27"/>
      <c r="K2591"/>
      <c r="P2591" s="27"/>
      <c r="Q2591" s="27"/>
      <c r="R2591" s="27"/>
    </row>
    <row r="2592" spans="1:18">
      <c r="A2592" s="28"/>
      <c r="B2592" s="29"/>
      <c r="C2592" s="29"/>
      <c r="D2592" s="29"/>
      <c r="E2592" s="29"/>
      <c r="H2592" s="27"/>
      <c r="K2592"/>
      <c r="P2592" s="27"/>
      <c r="Q2592" s="27"/>
      <c r="R2592" s="27"/>
    </row>
    <row r="2593" spans="1:18">
      <c r="A2593" s="28"/>
      <c r="B2593" s="29"/>
      <c r="C2593" s="29"/>
      <c r="D2593" s="29"/>
      <c r="E2593" s="29"/>
      <c r="H2593" s="27"/>
      <c r="K2593"/>
      <c r="P2593" s="27"/>
      <c r="Q2593" s="27"/>
      <c r="R2593" s="27"/>
    </row>
    <row r="2594" spans="1:18">
      <c r="A2594" s="28"/>
      <c r="B2594" s="29"/>
      <c r="C2594" s="29"/>
      <c r="D2594" s="29"/>
      <c r="E2594" s="29"/>
      <c r="H2594" s="27"/>
      <c r="K2594"/>
      <c r="P2594" s="27"/>
      <c r="Q2594" s="27"/>
      <c r="R2594" s="27"/>
    </row>
    <row r="2595" spans="1:18">
      <c r="A2595" s="28"/>
      <c r="B2595" s="29"/>
      <c r="C2595" s="29"/>
      <c r="D2595" s="29"/>
      <c r="E2595" s="29"/>
      <c r="H2595" s="27"/>
      <c r="K2595"/>
      <c r="P2595" s="27"/>
      <c r="Q2595" s="27"/>
      <c r="R2595" s="27"/>
    </row>
    <row r="2596" spans="1:18">
      <c r="A2596" s="28"/>
      <c r="B2596" s="29"/>
      <c r="C2596" s="29"/>
      <c r="D2596" s="29"/>
      <c r="E2596" s="29"/>
      <c r="H2596" s="27"/>
      <c r="K2596"/>
      <c r="P2596" s="27"/>
      <c r="Q2596" s="27"/>
      <c r="R2596" s="27"/>
    </row>
    <row r="2597" spans="1:18">
      <c r="A2597" s="28"/>
      <c r="B2597" s="29"/>
      <c r="C2597" s="29"/>
      <c r="D2597" s="29"/>
      <c r="E2597" s="29"/>
      <c r="H2597" s="27"/>
      <c r="K2597"/>
      <c r="P2597" s="27"/>
      <c r="Q2597" s="27"/>
      <c r="R2597" s="27"/>
    </row>
    <row r="2598" spans="1:18">
      <c r="A2598" s="28"/>
      <c r="B2598" s="29"/>
      <c r="C2598" s="29"/>
      <c r="D2598" s="29"/>
      <c r="E2598" s="29"/>
      <c r="H2598" s="27"/>
      <c r="K2598"/>
      <c r="P2598" s="27"/>
      <c r="Q2598" s="27"/>
      <c r="R2598" s="27"/>
    </row>
    <row r="2599" spans="1:18">
      <c r="A2599" s="28"/>
      <c r="B2599" s="29"/>
      <c r="C2599" s="29"/>
      <c r="D2599" s="29"/>
      <c r="E2599" s="29"/>
      <c r="H2599" s="27"/>
      <c r="K2599"/>
      <c r="P2599" s="27"/>
      <c r="Q2599" s="27"/>
      <c r="R2599" s="27"/>
    </row>
    <row r="2600" spans="1:18">
      <c r="A2600" s="28"/>
      <c r="B2600" s="29"/>
      <c r="C2600" s="29"/>
      <c r="D2600" s="29"/>
      <c r="E2600" s="29"/>
      <c r="H2600" s="27"/>
      <c r="K2600"/>
      <c r="P2600" s="27"/>
      <c r="Q2600" s="27"/>
      <c r="R2600" s="27"/>
    </row>
    <row r="2601" spans="1:18">
      <c r="A2601" s="28"/>
      <c r="B2601" s="29"/>
      <c r="C2601" s="29"/>
      <c r="D2601" s="29"/>
      <c r="E2601" s="29"/>
      <c r="H2601" s="27"/>
      <c r="K2601"/>
      <c r="P2601" s="27"/>
      <c r="Q2601" s="27"/>
      <c r="R2601" s="27"/>
    </row>
    <row r="2602" spans="1:18">
      <c r="A2602" s="28"/>
      <c r="B2602" s="29"/>
      <c r="C2602" s="29"/>
      <c r="D2602" s="29"/>
      <c r="E2602" s="29"/>
      <c r="H2602" s="27"/>
      <c r="K2602"/>
      <c r="P2602" s="27"/>
      <c r="Q2602" s="27"/>
      <c r="R2602" s="27"/>
    </row>
    <row r="2603" spans="1:18">
      <c r="A2603" s="28"/>
      <c r="B2603" s="29"/>
      <c r="C2603" s="29"/>
      <c r="D2603" s="29"/>
      <c r="E2603" s="29"/>
      <c r="H2603" s="27"/>
      <c r="K2603"/>
      <c r="P2603" s="27"/>
      <c r="Q2603" s="27"/>
      <c r="R2603" s="27"/>
    </row>
    <row r="2604" spans="1:18">
      <c r="A2604" s="28"/>
      <c r="B2604" s="29"/>
      <c r="C2604" s="29"/>
      <c r="D2604" s="29"/>
      <c r="E2604" s="29"/>
      <c r="H2604" s="27"/>
      <c r="K2604"/>
      <c r="P2604" s="27"/>
      <c r="Q2604" s="27"/>
      <c r="R2604" s="27"/>
    </row>
    <row r="2605" spans="1:18">
      <c r="A2605" s="28"/>
      <c r="B2605" s="29"/>
      <c r="C2605" s="29"/>
      <c r="D2605" s="29"/>
      <c r="E2605" s="29"/>
      <c r="H2605" s="27"/>
      <c r="K2605"/>
      <c r="P2605" s="27"/>
      <c r="Q2605" s="27"/>
      <c r="R2605" s="27"/>
    </row>
    <row r="2606" spans="1:18">
      <c r="A2606" s="28"/>
      <c r="B2606" s="29"/>
      <c r="C2606" s="29"/>
      <c r="D2606" s="29"/>
      <c r="E2606" s="29"/>
      <c r="H2606" s="27"/>
      <c r="K2606"/>
      <c r="P2606" s="27"/>
      <c r="Q2606" s="27"/>
      <c r="R2606" s="27"/>
    </row>
    <row r="2607" spans="1:18">
      <c r="A2607" s="28"/>
      <c r="B2607" s="29"/>
      <c r="C2607" s="29"/>
      <c r="D2607" s="29"/>
      <c r="E2607" s="29"/>
      <c r="H2607" s="27"/>
      <c r="K2607"/>
      <c r="P2607" s="27"/>
      <c r="Q2607" s="27"/>
      <c r="R2607" s="27"/>
    </row>
    <row r="2608" spans="1:18">
      <c r="A2608" s="28"/>
      <c r="B2608" s="29"/>
      <c r="C2608" s="29"/>
      <c r="D2608" s="29"/>
      <c r="E2608" s="29"/>
      <c r="H2608" s="27"/>
      <c r="K2608"/>
      <c r="P2608" s="27"/>
      <c r="Q2608" s="27"/>
      <c r="R2608" s="27"/>
    </row>
    <row r="2609" spans="1:18">
      <c r="A2609" s="28"/>
      <c r="B2609" s="29"/>
      <c r="C2609" s="29"/>
      <c r="D2609" s="29"/>
      <c r="E2609" s="29"/>
      <c r="H2609" s="27"/>
      <c r="K2609"/>
      <c r="P2609" s="27"/>
      <c r="Q2609" s="27"/>
      <c r="R2609" s="27"/>
    </row>
    <row r="2610" spans="1:18">
      <c r="A2610" s="28"/>
      <c r="B2610" s="29"/>
      <c r="C2610" s="29"/>
      <c r="D2610" s="29"/>
      <c r="E2610" s="29"/>
      <c r="H2610" s="27"/>
      <c r="K2610"/>
      <c r="P2610" s="27"/>
      <c r="Q2610" s="27"/>
      <c r="R2610" s="27"/>
    </row>
    <row r="2611" spans="1:18">
      <c r="A2611" s="28"/>
      <c r="B2611" s="29"/>
      <c r="C2611" s="29"/>
      <c r="D2611" s="29"/>
      <c r="E2611" s="29"/>
      <c r="H2611" s="27"/>
      <c r="K2611"/>
      <c r="P2611" s="27"/>
      <c r="Q2611" s="27"/>
      <c r="R2611" s="27"/>
    </row>
    <row r="2612" spans="1:18">
      <c r="A2612" s="28"/>
      <c r="B2612" s="29"/>
      <c r="C2612" s="29"/>
      <c r="D2612" s="29"/>
      <c r="E2612" s="29"/>
      <c r="H2612" s="27"/>
      <c r="K2612"/>
      <c r="P2612" s="27"/>
      <c r="Q2612" s="27"/>
      <c r="R2612" s="27"/>
    </row>
    <row r="2613" spans="1:18">
      <c r="A2613" s="28"/>
      <c r="B2613" s="29"/>
      <c r="C2613" s="29"/>
      <c r="D2613" s="29"/>
      <c r="E2613" s="29"/>
      <c r="H2613" s="27"/>
      <c r="K2613"/>
      <c r="P2613" s="27"/>
      <c r="Q2613" s="27"/>
      <c r="R2613" s="27"/>
    </row>
    <row r="2614" spans="1:18">
      <c r="A2614" s="28"/>
      <c r="B2614" s="29"/>
      <c r="C2614" s="29"/>
      <c r="D2614" s="29"/>
      <c r="E2614" s="29"/>
      <c r="H2614" s="27"/>
      <c r="K2614"/>
      <c r="P2614" s="27"/>
      <c r="Q2614" s="27"/>
      <c r="R2614" s="27"/>
    </row>
    <row r="2615" spans="1:18">
      <c r="A2615" s="28"/>
      <c r="B2615" s="29"/>
      <c r="C2615" s="29"/>
      <c r="D2615" s="29"/>
      <c r="E2615" s="29"/>
      <c r="H2615" s="27"/>
      <c r="K2615"/>
      <c r="P2615" s="27"/>
      <c r="Q2615" s="27"/>
      <c r="R2615" s="27"/>
    </row>
    <row r="2616" spans="1:18">
      <c r="A2616" s="28"/>
      <c r="B2616" s="29"/>
      <c r="C2616" s="29"/>
      <c r="D2616" s="29"/>
      <c r="E2616" s="29"/>
      <c r="H2616" s="27"/>
      <c r="K2616"/>
      <c r="P2616" s="27"/>
      <c r="Q2616" s="27"/>
      <c r="R2616" s="27"/>
    </row>
    <row r="2617" spans="1:18">
      <c r="A2617" s="28"/>
      <c r="B2617" s="29"/>
      <c r="C2617" s="29"/>
      <c r="D2617" s="29"/>
      <c r="E2617" s="29"/>
      <c r="H2617" s="27"/>
      <c r="K2617"/>
      <c r="P2617" s="27"/>
      <c r="Q2617" s="27"/>
      <c r="R2617" s="27"/>
    </row>
    <row r="2618" spans="1:18">
      <c r="A2618" s="28"/>
      <c r="B2618" s="29"/>
      <c r="C2618" s="29"/>
      <c r="D2618" s="29"/>
      <c r="E2618" s="29"/>
      <c r="H2618" s="27"/>
      <c r="K2618"/>
      <c r="P2618" s="27"/>
      <c r="Q2618" s="27"/>
      <c r="R2618" s="27"/>
    </row>
    <row r="2619" spans="1:18">
      <c r="A2619" s="28"/>
      <c r="B2619" s="29"/>
      <c r="C2619" s="29"/>
      <c r="D2619" s="29"/>
      <c r="E2619" s="29"/>
      <c r="H2619" s="27"/>
      <c r="K2619"/>
      <c r="P2619" s="27"/>
      <c r="Q2619" s="27"/>
      <c r="R2619" s="27"/>
    </row>
    <row r="2620" spans="1:18">
      <c r="A2620" s="28"/>
      <c r="B2620" s="29"/>
      <c r="C2620" s="29"/>
      <c r="D2620" s="29"/>
      <c r="E2620" s="29"/>
      <c r="H2620" s="27"/>
      <c r="K2620"/>
      <c r="P2620" s="27"/>
      <c r="Q2620" s="27"/>
      <c r="R2620" s="27"/>
    </row>
    <row r="2621" spans="1:18">
      <c r="A2621" s="28"/>
      <c r="B2621" s="29"/>
      <c r="C2621" s="29"/>
      <c r="D2621" s="29"/>
      <c r="E2621" s="29"/>
      <c r="H2621" s="27"/>
      <c r="K2621"/>
      <c r="P2621" s="27"/>
      <c r="Q2621" s="27"/>
      <c r="R2621" s="27"/>
    </row>
    <row r="2622" spans="1:18">
      <c r="A2622" s="28"/>
      <c r="B2622" s="29"/>
      <c r="C2622" s="29"/>
      <c r="D2622" s="29"/>
      <c r="E2622" s="29"/>
      <c r="H2622" s="27"/>
      <c r="K2622"/>
      <c r="P2622" s="27"/>
      <c r="Q2622" s="27"/>
      <c r="R2622" s="27"/>
    </row>
    <row r="2623" spans="1:18">
      <c r="A2623" s="28"/>
      <c r="B2623" s="29"/>
      <c r="C2623" s="29"/>
      <c r="D2623" s="29"/>
      <c r="E2623" s="29"/>
      <c r="H2623" s="27"/>
      <c r="K2623"/>
      <c r="P2623" s="27"/>
      <c r="Q2623" s="27"/>
      <c r="R2623" s="27"/>
    </row>
    <row r="2624" spans="1:18">
      <c r="A2624" s="28"/>
      <c r="B2624" s="29"/>
      <c r="C2624" s="29"/>
      <c r="D2624" s="29"/>
      <c r="E2624" s="29"/>
      <c r="H2624" s="27"/>
      <c r="K2624"/>
      <c r="P2624" s="27"/>
      <c r="Q2624" s="27"/>
      <c r="R2624" s="27"/>
    </row>
    <row r="2625" spans="1:18">
      <c r="A2625" s="28"/>
      <c r="B2625" s="29"/>
      <c r="C2625" s="29"/>
      <c r="D2625" s="29"/>
      <c r="E2625" s="29"/>
      <c r="H2625" s="27"/>
      <c r="K2625"/>
      <c r="P2625" s="27"/>
      <c r="Q2625" s="27"/>
      <c r="R2625" s="27"/>
    </row>
    <row r="2626" spans="1:18">
      <c r="A2626" s="28"/>
      <c r="B2626" s="29"/>
      <c r="C2626" s="29"/>
      <c r="D2626" s="29"/>
      <c r="E2626" s="29"/>
      <c r="H2626" s="27"/>
      <c r="K2626"/>
      <c r="P2626" s="27"/>
      <c r="Q2626" s="27"/>
      <c r="R2626" s="27"/>
    </row>
    <row r="2627" spans="1:18">
      <c r="A2627" s="28"/>
      <c r="B2627" s="29"/>
      <c r="C2627" s="29"/>
      <c r="D2627" s="29"/>
      <c r="E2627" s="29"/>
      <c r="H2627" s="27"/>
      <c r="K2627"/>
      <c r="P2627" s="27"/>
      <c r="Q2627" s="27"/>
      <c r="R2627" s="27"/>
    </row>
    <row r="2628" spans="1:18">
      <c r="A2628" s="28"/>
      <c r="B2628" s="29"/>
      <c r="C2628" s="29"/>
      <c r="D2628" s="29"/>
      <c r="E2628" s="29"/>
      <c r="H2628" s="27"/>
      <c r="K2628"/>
      <c r="P2628" s="27"/>
      <c r="Q2628" s="27"/>
      <c r="R2628" s="27"/>
    </row>
    <row r="2629" spans="1:18">
      <c r="A2629" s="28"/>
      <c r="B2629" s="29"/>
      <c r="C2629" s="29"/>
      <c r="D2629" s="29"/>
      <c r="E2629" s="29"/>
      <c r="H2629" s="27"/>
      <c r="K2629"/>
      <c r="P2629" s="27"/>
      <c r="Q2629" s="27"/>
      <c r="R2629" s="27"/>
    </row>
    <row r="2630" spans="1:18">
      <c r="A2630" s="28"/>
      <c r="B2630" s="29"/>
      <c r="C2630" s="29"/>
      <c r="D2630" s="29"/>
      <c r="E2630" s="29"/>
      <c r="H2630" s="27"/>
      <c r="K2630"/>
      <c r="P2630" s="27"/>
      <c r="Q2630" s="27"/>
      <c r="R2630" s="27"/>
    </row>
    <row r="2631" spans="1:18">
      <c r="A2631" s="28"/>
      <c r="B2631" s="29"/>
      <c r="C2631" s="29"/>
      <c r="D2631" s="29"/>
      <c r="E2631" s="29"/>
      <c r="H2631" s="27"/>
      <c r="K2631"/>
      <c r="P2631" s="27"/>
      <c r="Q2631" s="27"/>
      <c r="R2631" s="27"/>
    </row>
    <row r="2632" spans="1:18">
      <c r="A2632" s="28"/>
      <c r="B2632" s="29"/>
      <c r="C2632" s="29"/>
      <c r="D2632" s="29"/>
      <c r="E2632" s="29"/>
      <c r="H2632" s="27"/>
      <c r="K2632"/>
      <c r="P2632" s="27"/>
      <c r="Q2632" s="27"/>
      <c r="R2632" s="27"/>
    </row>
    <row r="2633" spans="1:18">
      <c r="A2633" s="28"/>
      <c r="B2633" s="29"/>
      <c r="C2633" s="29"/>
      <c r="D2633" s="29"/>
      <c r="E2633" s="29"/>
      <c r="H2633" s="27"/>
      <c r="K2633"/>
      <c r="P2633" s="27"/>
      <c r="Q2633" s="27"/>
      <c r="R2633" s="27"/>
    </row>
    <row r="2634" spans="1:18">
      <c r="A2634" s="28"/>
      <c r="B2634" s="29"/>
      <c r="C2634" s="29"/>
      <c r="D2634" s="29"/>
      <c r="E2634" s="29"/>
      <c r="H2634" s="27"/>
      <c r="K2634"/>
      <c r="P2634" s="27"/>
      <c r="Q2634" s="27"/>
      <c r="R2634" s="27"/>
    </row>
    <row r="2635" spans="1:18">
      <c r="A2635" s="28"/>
      <c r="B2635" s="29"/>
      <c r="C2635" s="29"/>
      <c r="D2635" s="29"/>
      <c r="E2635" s="29"/>
      <c r="H2635" s="27"/>
      <c r="K2635"/>
      <c r="P2635" s="27"/>
      <c r="Q2635" s="27"/>
      <c r="R2635" s="27"/>
    </row>
    <row r="2636" spans="1:18">
      <c r="A2636" s="28"/>
      <c r="B2636" s="29"/>
      <c r="C2636" s="29"/>
      <c r="D2636" s="29"/>
      <c r="E2636" s="29"/>
      <c r="H2636" s="27"/>
      <c r="K2636"/>
      <c r="P2636" s="27"/>
      <c r="Q2636" s="27"/>
      <c r="R2636" s="27"/>
    </row>
    <row r="2637" spans="1:18">
      <c r="A2637" s="28"/>
      <c r="B2637" s="29"/>
      <c r="C2637" s="29"/>
      <c r="D2637" s="29"/>
      <c r="E2637" s="29"/>
      <c r="H2637" s="27"/>
      <c r="K2637"/>
      <c r="P2637" s="27"/>
      <c r="Q2637" s="27"/>
      <c r="R2637" s="27"/>
    </row>
    <row r="2638" spans="1:18">
      <c r="A2638" s="28"/>
      <c r="B2638" s="29"/>
      <c r="C2638" s="29"/>
      <c r="D2638" s="29"/>
      <c r="E2638" s="29"/>
      <c r="H2638" s="27"/>
      <c r="K2638"/>
      <c r="P2638" s="27"/>
      <c r="Q2638" s="27"/>
      <c r="R2638" s="27"/>
    </row>
    <row r="2639" spans="1:18">
      <c r="A2639" s="28"/>
      <c r="B2639" s="29"/>
      <c r="C2639" s="29"/>
      <c r="D2639" s="29"/>
      <c r="E2639" s="29"/>
      <c r="H2639" s="27"/>
      <c r="K2639"/>
      <c r="P2639" s="27"/>
      <c r="Q2639" s="27"/>
      <c r="R2639" s="27"/>
    </row>
    <row r="2640" spans="1:18">
      <c r="A2640" s="28"/>
      <c r="B2640" s="29"/>
      <c r="C2640" s="29"/>
      <c r="D2640" s="29"/>
      <c r="E2640" s="29"/>
      <c r="H2640" s="27"/>
      <c r="K2640"/>
      <c r="P2640" s="27"/>
      <c r="Q2640" s="27"/>
      <c r="R2640" s="27"/>
    </row>
    <row r="2641" spans="1:18">
      <c r="A2641" s="28"/>
      <c r="B2641" s="29"/>
      <c r="C2641" s="29"/>
      <c r="D2641" s="29"/>
      <c r="E2641" s="29"/>
      <c r="H2641" s="27"/>
      <c r="K2641"/>
      <c r="P2641" s="27"/>
      <c r="Q2641" s="27"/>
      <c r="R2641" s="27"/>
    </row>
    <row r="2642" spans="1:18">
      <c r="A2642" s="28"/>
      <c r="B2642" s="29"/>
      <c r="C2642" s="29"/>
      <c r="D2642" s="29"/>
      <c r="E2642" s="29"/>
      <c r="H2642" s="27"/>
      <c r="K2642"/>
      <c r="P2642" s="27"/>
      <c r="Q2642" s="27"/>
      <c r="R2642" s="27"/>
    </row>
    <row r="2643" spans="1:18">
      <c r="A2643" s="28"/>
      <c r="B2643" s="29"/>
      <c r="C2643" s="29"/>
      <c r="D2643" s="29"/>
      <c r="E2643" s="29"/>
      <c r="H2643" s="27"/>
      <c r="K2643"/>
      <c r="P2643" s="27"/>
      <c r="Q2643" s="27"/>
      <c r="R2643" s="27"/>
    </row>
    <row r="2644" spans="1:18">
      <c r="A2644" s="28"/>
      <c r="B2644" s="29"/>
      <c r="C2644" s="29"/>
      <c r="D2644" s="29"/>
      <c r="E2644" s="29"/>
      <c r="H2644" s="27"/>
      <c r="K2644"/>
      <c r="P2644" s="27"/>
      <c r="Q2644" s="27"/>
      <c r="R2644" s="27"/>
    </row>
    <row r="2645" spans="1:18">
      <c r="A2645" s="28"/>
      <c r="B2645" s="29"/>
      <c r="C2645" s="29"/>
      <c r="D2645" s="29"/>
      <c r="E2645" s="29"/>
      <c r="H2645" s="27"/>
      <c r="K2645"/>
      <c r="P2645" s="27"/>
      <c r="Q2645" s="27"/>
      <c r="R2645" s="27"/>
    </row>
    <row r="2646" spans="1:18">
      <c r="A2646" s="28"/>
      <c r="B2646" s="29"/>
      <c r="C2646" s="29"/>
      <c r="D2646" s="29"/>
      <c r="E2646" s="29"/>
      <c r="H2646" s="27"/>
      <c r="K2646"/>
      <c r="P2646" s="27"/>
      <c r="Q2646" s="27"/>
      <c r="R2646" s="27"/>
    </row>
    <row r="2647" spans="1:18">
      <c r="A2647" s="28"/>
      <c r="B2647" s="29"/>
      <c r="C2647" s="29"/>
      <c r="D2647" s="29"/>
      <c r="E2647" s="29"/>
      <c r="H2647" s="27"/>
      <c r="K2647"/>
      <c r="P2647" s="27"/>
      <c r="Q2647" s="27"/>
      <c r="R2647" s="27"/>
    </row>
    <row r="2648" spans="1:18">
      <c r="A2648" s="28"/>
      <c r="B2648" s="29"/>
      <c r="C2648" s="29"/>
      <c r="D2648" s="29"/>
      <c r="E2648" s="29"/>
      <c r="H2648" s="27"/>
      <c r="K2648"/>
      <c r="P2648" s="27"/>
      <c r="Q2648" s="27"/>
      <c r="R2648" s="27"/>
    </row>
    <row r="2649" spans="1:18">
      <c r="A2649" s="28"/>
      <c r="B2649" s="29"/>
      <c r="C2649" s="29"/>
      <c r="D2649" s="29"/>
      <c r="E2649" s="29"/>
      <c r="H2649" s="27"/>
      <c r="K2649"/>
      <c r="P2649" s="27"/>
      <c r="Q2649" s="27"/>
      <c r="R2649" s="27"/>
    </row>
    <row r="2650" spans="1:18">
      <c r="A2650" s="28"/>
      <c r="B2650" s="29"/>
      <c r="C2650" s="29"/>
      <c r="D2650" s="29"/>
      <c r="E2650" s="29"/>
      <c r="H2650" s="27"/>
      <c r="K2650"/>
      <c r="P2650" s="27"/>
      <c r="Q2650" s="27"/>
      <c r="R2650" s="27"/>
    </row>
    <row r="2651" spans="1:18">
      <c r="A2651" s="28"/>
      <c r="B2651" s="29"/>
      <c r="C2651" s="29"/>
      <c r="D2651" s="29"/>
      <c r="E2651" s="29"/>
      <c r="H2651" s="27"/>
      <c r="K2651"/>
      <c r="P2651" s="27"/>
      <c r="Q2651" s="27"/>
      <c r="R2651" s="27"/>
    </row>
    <row r="2652" spans="1:18">
      <c r="A2652" s="28"/>
      <c r="B2652" s="29"/>
      <c r="C2652" s="29"/>
      <c r="D2652" s="29"/>
      <c r="E2652" s="29"/>
      <c r="H2652" s="27"/>
      <c r="K2652"/>
      <c r="P2652" s="27"/>
      <c r="Q2652" s="27"/>
      <c r="R2652" s="27"/>
    </row>
    <row r="2653" spans="1:18">
      <c r="A2653" s="28"/>
      <c r="B2653" s="29"/>
      <c r="C2653" s="29"/>
      <c r="D2653" s="29"/>
      <c r="E2653" s="29"/>
      <c r="H2653" s="27"/>
      <c r="K2653"/>
      <c r="P2653" s="27"/>
      <c r="Q2653" s="27"/>
      <c r="R2653" s="27"/>
    </row>
    <row r="2654" spans="1:18">
      <c r="A2654" s="28"/>
      <c r="B2654" s="29"/>
      <c r="C2654" s="29"/>
      <c r="D2654" s="29"/>
      <c r="E2654" s="29"/>
      <c r="H2654" s="27"/>
      <c r="K2654"/>
      <c r="P2654" s="27"/>
      <c r="Q2654" s="27"/>
      <c r="R2654" s="27"/>
    </row>
    <row r="2655" spans="1:18">
      <c r="A2655" s="28"/>
      <c r="B2655" s="29"/>
      <c r="C2655" s="29"/>
      <c r="D2655" s="29"/>
      <c r="E2655" s="29"/>
      <c r="H2655" s="27"/>
      <c r="K2655"/>
      <c r="P2655" s="27"/>
      <c r="Q2655" s="27"/>
      <c r="R2655" s="27"/>
    </row>
    <row r="2656" spans="1:18">
      <c r="A2656" s="28"/>
      <c r="B2656" s="29"/>
      <c r="C2656" s="29"/>
      <c r="D2656" s="29"/>
      <c r="E2656" s="29"/>
      <c r="H2656" s="27"/>
      <c r="K2656"/>
      <c r="P2656" s="27"/>
      <c r="Q2656" s="27"/>
      <c r="R2656" s="27"/>
    </row>
    <row r="2657" spans="1:18">
      <c r="A2657" s="28"/>
      <c r="B2657" s="29"/>
      <c r="C2657" s="29"/>
      <c r="D2657" s="29"/>
      <c r="E2657" s="29"/>
      <c r="H2657" s="27"/>
      <c r="K2657"/>
      <c r="P2657" s="27"/>
      <c r="Q2657" s="27"/>
      <c r="R2657" s="27"/>
    </row>
    <row r="2658" spans="1:18">
      <c r="A2658" s="28"/>
      <c r="B2658" s="29"/>
      <c r="C2658" s="29"/>
      <c r="D2658" s="29"/>
      <c r="E2658" s="29"/>
      <c r="H2658" s="27"/>
      <c r="K2658"/>
      <c r="P2658" s="27"/>
      <c r="Q2658" s="27"/>
      <c r="R2658" s="27"/>
    </row>
    <row r="2659" spans="1:18">
      <c r="A2659" s="28"/>
      <c r="B2659" s="29"/>
      <c r="C2659" s="29"/>
      <c r="D2659" s="29"/>
      <c r="E2659" s="29"/>
      <c r="H2659" s="27"/>
      <c r="K2659"/>
      <c r="P2659" s="27"/>
      <c r="Q2659" s="27"/>
      <c r="R2659" s="27"/>
    </row>
    <row r="2660" spans="1:18">
      <c r="A2660" s="28"/>
      <c r="B2660" s="29"/>
      <c r="C2660" s="29"/>
      <c r="D2660" s="29"/>
      <c r="E2660" s="29"/>
      <c r="H2660" s="27"/>
      <c r="K2660"/>
      <c r="P2660" s="27"/>
      <c r="Q2660" s="27"/>
      <c r="R2660" s="27"/>
    </row>
    <row r="2661" spans="1:18">
      <c r="A2661" s="28"/>
      <c r="B2661" s="29"/>
      <c r="C2661" s="29"/>
      <c r="D2661" s="29"/>
      <c r="E2661" s="29"/>
      <c r="H2661" s="27"/>
      <c r="K2661"/>
      <c r="P2661" s="27"/>
      <c r="Q2661" s="27"/>
      <c r="R2661" s="27"/>
    </row>
    <row r="2662" spans="1:18">
      <c r="A2662" s="28"/>
      <c r="B2662" s="29"/>
      <c r="C2662" s="29"/>
      <c r="D2662" s="29"/>
      <c r="E2662" s="29"/>
      <c r="H2662" s="27"/>
      <c r="K2662"/>
      <c r="P2662" s="27"/>
      <c r="Q2662" s="27"/>
      <c r="R2662" s="27"/>
    </row>
    <row r="2663" spans="1:18">
      <c r="A2663" s="28"/>
      <c r="B2663" s="29"/>
      <c r="C2663" s="29"/>
      <c r="D2663" s="29"/>
      <c r="E2663" s="29"/>
      <c r="H2663" s="27"/>
      <c r="K2663"/>
      <c r="P2663" s="27"/>
      <c r="Q2663" s="27"/>
      <c r="R2663" s="27"/>
    </row>
    <row r="2664" spans="1:18">
      <c r="A2664" s="28"/>
      <c r="B2664" s="29"/>
      <c r="C2664" s="29"/>
      <c r="D2664" s="29"/>
      <c r="E2664" s="29"/>
      <c r="H2664" s="27"/>
      <c r="K2664"/>
      <c r="P2664" s="27"/>
      <c r="Q2664" s="27"/>
      <c r="R2664" s="27"/>
    </row>
    <row r="2665" spans="1:18">
      <c r="A2665" s="28"/>
      <c r="B2665" s="29"/>
      <c r="C2665" s="29"/>
      <c r="D2665" s="29"/>
      <c r="E2665" s="29"/>
      <c r="H2665" s="27"/>
      <c r="K2665"/>
      <c r="P2665" s="27"/>
      <c r="Q2665" s="27"/>
      <c r="R2665" s="27"/>
    </row>
    <row r="2666" spans="1:18">
      <c r="A2666" s="28"/>
      <c r="B2666" s="29"/>
      <c r="C2666" s="29"/>
      <c r="D2666" s="29"/>
      <c r="E2666" s="29"/>
      <c r="H2666" s="27"/>
      <c r="K2666"/>
      <c r="P2666" s="27"/>
      <c r="Q2666" s="27"/>
      <c r="R2666" s="27"/>
    </row>
    <row r="2667" spans="1:18">
      <c r="A2667" s="28"/>
      <c r="B2667" s="29"/>
      <c r="C2667" s="29"/>
      <c r="D2667" s="29"/>
      <c r="E2667" s="29"/>
      <c r="H2667" s="27"/>
      <c r="K2667"/>
      <c r="P2667" s="27"/>
      <c r="Q2667" s="27"/>
      <c r="R2667" s="27"/>
    </row>
    <row r="2668" spans="1:18">
      <c r="A2668" s="28"/>
      <c r="B2668" s="29"/>
      <c r="C2668" s="29"/>
      <c r="D2668" s="29"/>
      <c r="E2668" s="29"/>
      <c r="H2668" s="27"/>
      <c r="K2668"/>
      <c r="P2668" s="27"/>
      <c r="Q2668" s="27"/>
      <c r="R2668" s="27"/>
    </row>
    <row r="2669" spans="1:18">
      <c r="A2669" s="28"/>
      <c r="B2669" s="29"/>
      <c r="C2669" s="29"/>
      <c r="D2669" s="29"/>
      <c r="E2669" s="29"/>
      <c r="H2669" s="27"/>
      <c r="K2669"/>
      <c r="P2669" s="27"/>
      <c r="Q2669" s="27"/>
      <c r="R2669" s="27"/>
    </row>
    <row r="2670" spans="1:18">
      <c r="A2670" s="28"/>
      <c r="B2670" s="29"/>
      <c r="C2670" s="29"/>
      <c r="D2670" s="29"/>
      <c r="E2670" s="29"/>
      <c r="H2670" s="27"/>
      <c r="K2670"/>
      <c r="P2670" s="27"/>
      <c r="Q2670" s="27"/>
      <c r="R2670" s="27"/>
    </row>
    <row r="2671" spans="1:18">
      <c r="A2671" s="28"/>
      <c r="B2671" s="29"/>
      <c r="C2671" s="29"/>
      <c r="D2671" s="29"/>
      <c r="E2671" s="29"/>
      <c r="H2671" s="27"/>
      <c r="K2671"/>
      <c r="P2671" s="27"/>
      <c r="Q2671" s="27"/>
      <c r="R2671" s="27"/>
    </row>
    <row r="2672" spans="1:18">
      <c r="A2672" s="28"/>
      <c r="B2672" s="29"/>
      <c r="C2672" s="29"/>
      <c r="D2672" s="29"/>
      <c r="E2672" s="29"/>
      <c r="H2672" s="27"/>
      <c r="K2672"/>
      <c r="P2672" s="27"/>
      <c r="Q2672" s="27"/>
      <c r="R2672" s="27"/>
    </row>
    <row r="2673" spans="1:18">
      <c r="A2673" s="28"/>
      <c r="B2673" s="29"/>
      <c r="C2673" s="29"/>
      <c r="D2673" s="29"/>
      <c r="E2673" s="29"/>
      <c r="H2673" s="27"/>
      <c r="K2673"/>
      <c r="P2673" s="27"/>
      <c r="Q2673" s="27"/>
      <c r="R2673" s="27"/>
    </row>
    <row r="2674" spans="1:18">
      <c r="A2674" s="28"/>
      <c r="B2674" s="29"/>
      <c r="C2674" s="29"/>
      <c r="D2674" s="29"/>
      <c r="E2674" s="29"/>
      <c r="H2674" s="27"/>
      <c r="K2674"/>
      <c r="P2674" s="27"/>
      <c r="Q2674" s="27"/>
      <c r="R2674" s="27"/>
    </row>
    <row r="2675" spans="1:18">
      <c r="A2675" s="28"/>
      <c r="B2675" s="29"/>
      <c r="C2675" s="29"/>
      <c r="D2675" s="29"/>
      <c r="E2675" s="29"/>
      <c r="H2675" s="27"/>
      <c r="K2675"/>
      <c r="P2675" s="27"/>
      <c r="Q2675" s="27"/>
      <c r="R2675" s="27"/>
    </row>
    <row r="2676" spans="1:18">
      <c r="A2676" s="28"/>
      <c r="B2676" s="29"/>
      <c r="C2676" s="29"/>
      <c r="D2676" s="29"/>
      <c r="E2676" s="29"/>
      <c r="H2676" s="27"/>
      <c r="K2676"/>
      <c r="P2676" s="27"/>
      <c r="Q2676" s="27"/>
      <c r="R2676" s="27"/>
    </row>
    <row r="2677" spans="1:18">
      <c r="A2677" s="28"/>
      <c r="B2677" s="29"/>
      <c r="C2677" s="29"/>
      <c r="D2677" s="29"/>
      <c r="E2677" s="29"/>
      <c r="H2677" s="27"/>
      <c r="K2677"/>
      <c r="P2677" s="27"/>
      <c r="Q2677" s="27"/>
      <c r="R2677" s="27"/>
    </row>
    <row r="2678" spans="1:18">
      <c r="A2678" s="28"/>
      <c r="B2678" s="29"/>
      <c r="C2678" s="29"/>
      <c r="D2678" s="29"/>
      <c r="E2678" s="29"/>
      <c r="H2678" s="27"/>
      <c r="K2678"/>
      <c r="P2678" s="27"/>
      <c r="Q2678" s="27"/>
      <c r="R2678" s="27"/>
    </row>
    <row r="2679" spans="1:18">
      <c r="A2679" s="28"/>
      <c r="B2679" s="29"/>
      <c r="C2679" s="29"/>
      <c r="D2679" s="29"/>
      <c r="E2679" s="29"/>
      <c r="H2679" s="27"/>
      <c r="K2679"/>
      <c r="P2679" s="27"/>
      <c r="Q2679" s="27"/>
      <c r="R2679" s="27"/>
    </row>
    <row r="2680" spans="1:18">
      <c r="A2680" s="28"/>
      <c r="B2680" s="29"/>
      <c r="C2680" s="29"/>
      <c r="D2680" s="29"/>
      <c r="E2680" s="29"/>
      <c r="H2680" s="27"/>
      <c r="K2680"/>
      <c r="P2680" s="27"/>
      <c r="Q2680" s="27"/>
      <c r="R2680" s="27"/>
    </row>
    <row r="2681" spans="1:18">
      <c r="A2681" s="28"/>
      <c r="B2681" s="29"/>
      <c r="C2681" s="29"/>
      <c r="D2681" s="29"/>
      <c r="E2681" s="29"/>
      <c r="H2681" s="27"/>
      <c r="K2681"/>
      <c r="P2681" s="27"/>
      <c r="Q2681" s="27"/>
      <c r="R2681" s="27"/>
    </row>
    <row r="2682" spans="1:18">
      <c r="A2682" s="28"/>
      <c r="B2682" s="29"/>
      <c r="C2682" s="29"/>
      <c r="D2682" s="29"/>
      <c r="E2682" s="29"/>
      <c r="H2682" s="27"/>
      <c r="K2682"/>
      <c r="P2682" s="27"/>
      <c r="Q2682" s="27"/>
      <c r="R2682" s="27"/>
    </row>
    <row r="2683" spans="1:18">
      <c r="A2683" s="28"/>
      <c r="B2683" s="29"/>
      <c r="C2683" s="29"/>
      <c r="D2683" s="29"/>
      <c r="E2683" s="29"/>
      <c r="H2683" s="27"/>
      <c r="K2683"/>
      <c r="P2683" s="27"/>
      <c r="Q2683" s="27"/>
      <c r="R2683" s="27"/>
    </row>
    <row r="2684" spans="1:18">
      <c r="A2684" s="28"/>
      <c r="B2684" s="29"/>
      <c r="C2684" s="29"/>
      <c r="D2684" s="29"/>
      <c r="E2684" s="29"/>
      <c r="H2684" s="27"/>
      <c r="K2684"/>
      <c r="P2684" s="27"/>
      <c r="Q2684" s="27"/>
      <c r="R2684" s="27"/>
    </row>
    <row r="2685" spans="1:18">
      <c r="A2685" s="28"/>
      <c r="B2685" s="29"/>
      <c r="C2685" s="29"/>
      <c r="D2685" s="29"/>
      <c r="E2685" s="29"/>
      <c r="H2685" s="27"/>
      <c r="K2685"/>
      <c r="P2685" s="27"/>
      <c r="Q2685" s="27"/>
      <c r="R2685" s="27"/>
    </row>
    <row r="2686" spans="1:18">
      <c r="A2686" s="28"/>
      <c r="B2686" s="29"/>
      <c r="C2686" s="29"/>
      <c r="D2686" s="29"/>
      <c r="E2686" s="29"/>
      <c r="H2686" s="27"/>
      <c r="K2686"/>
      <c r="P2686" s="27"/>
      <c r="Q2686" s="27"/>
      <c r="R2686" s="27"/>
    </row>
    <row r="2687" spans="1:18">
      <c r="A2687" s="28"/>
      <c r="B2687" s="29"/>
      <c r="C2687" s="29"/>
      <c r="D2687" s="29"/>
      <c r="E2687" s="29"/>
      <c r="H2687" s="27"/>
      <c r="K2687"/>
      <c r="P2687" s="27"/>
      <c r="Q2687" s="27"/>
      <c r="R2687" s="27"/>
    </row>
    <row r="2688" spans="1:18">
      <c r="A2688" s="28"/>
      <c r="B2688" s="29"/>
      <c r="C2688" s="29"/>
      <c r="D2688" s="29"/>
      <c r="E2688" s="29"/>
      <c r="H2688" s="27"/>
      <c r="K2688"/>
      <c r="P2688" s="27"/>
      <c r="Q2688" s="27"/>
      <c r="R2688" s="27"/>
    </row>
    <row r="2689" spans="1:18">
      <c r="A2689" s="28"/>
      <c r="B2689" s="29"/>
      <c r="C2689" s="29"/>
      <c r="D2689" s="29"/>
      <c r="E2689" s="29"/>
      <c r="H2689" s="27"/>
      <c r="K2689"/>
      <c r="P2689" s="27"/>
      <c r="Q2689" s="27"/>
      <c r="R2689" s="27"/>
    </row>
    <row r="2690" spans="1:18">
      <c r="A2690" s="28"/>
      <c r="B2690" s="29"/>
      <c r="C2690" s="29"/>
      <c r="D2690" s="29"/>
      <c r="E2690" s="29"/>
      <c r="H2690" s="27"/>
      <c r="K2690"/>
      <c r="P2690" s="27"/>
      <c r="Q2690" s="27"/>
      <c r="R2690" s="27"/>
    </row>
    <row r="2691" spans="1:18">
      <c r="A2691" s="28"/>
      <c r="B2691" s="29"/>
      <c r="C2691" s="29"/>
      <c r="D2691" s="29"/>
      <c r="E2691" s="29"/>
      <c r="H2691" s="27"/>
      <c r="K2691"/>
      <c r="P2691" s="27"/>
      <c r="Q2691" s="27"/>
      <c r="R2691" s="27"/>
    </row>
    <row r="2692" spans="1:18">
      <c r="A2692" s="28"/>
      <c r="B2692" s="29"/>
      <c r="C2692" s="29"/>
      <c r="D2692" s="29"/>
      <c r="E2692" s="29"/>
      <c r="H2692" s="27"/>
      <c r="K2692"/>
      <c r="P2692" s="27"/>
      <c r="Q2692" s="27"/>
      <c r="R2692" s="27"/>
    </row>
    <row r="2693" spans="1:18">
      <c r="A2693" s="28"/>
      <c r="B2693" s="29"/>
      <c r="C2693" s="29"/>
      <c r="D2693" s="29"/>
      <c r="E2693" s="29"/>
      <c r="H2693" s="27"/>
      <c r="K2693"/>
      <c r="P2693" s="27"/>
      <c r="Q2693" s="27"/>
      <c r="R2693" s="27"/>
    </row>
    <row r="2694" spans="1:18">
      <c r="A2694" s="28"/>
      <c r="B2694" s="29"/>
      <c r="C2694" s="29"/>
      <c r="D2694" s="29"/>
      <c r="E2694" s="29"/>
      <c r="H2694" s="27"/>
      <c r="K2694"/>
      <c r="P2694" s="27"/>
      <c r="Q2694" s="27"/>
      <c r="R2694" s="27"/>
    </row>
    <row r="2695" spans="1:18">
      <c r="A2695" s="28"/>
      <c r="B2695" s="29"/>
      <c r="C2695" s="29"/>
      <c r="D2695" s="29"/>
      <c r="E2695" s="29"/>
      <c r="H2695" s="27"/>
      <c r="K2695"/>
      <c r="P2695" s="27"/>
      <c r="Q2695" s="27"/>
      <c r="R2695" s="27"/>
    </row>
    <row r="2696" spans="1:18">
      <c r="A2696" s="28"/>
      <c r="B2696" s="29"/>
      <c r="C2696" s="29"/>
      <c r="D2696" s="29"/>
      <c r="E2696" s="29"/>
      <c r="H2696" s="27"/>
      <c r="K2696"/>
      <c r="P2696" s="27"/>
      <c r="Q2696" s="27"/>
      <c r="R2696" s="27"/>
    </row>
    <row r="2697" spans="1:18">
      <c r="A2697" s="28"/>
      <c r="B2697" s="29"/>
      <c r="C2697" s="29"/>
      <c r="D2697" s="29"/>
      <c r="E2697" s="29"/>
      <c r="H2697" s="27"/>
      <c r="K2697"/>
      <c r="P2697" s="27"/>
      <c r="Q2697" s="27"/>
      <c r="R2697" s="27"/>
    </row>
    <row r="2698" spans="1:18">
      <c r="A2698" s="28"/>
      <c r="B2698" s="29"/>
      <c r="C2698" s="29"/>
      <c r="D2698" s="29"/>
      <c r="E2698" s="29"/>
      <c r="H2698" s="27"/>
      <c r="K2698"/>
      <c r="P2698" s="27"/>
      <c r="Q2698" s="27"/>
      <c r="R2698" s="27"/>
    </row>
    <row r="2699" spans="1:18">
      <c r="A2699" s="28"/>
      <c r="B2699" s="29"/>
      <c r="C2699" s="29"/>
      <c r="D2699" s="29"/>
      <c r="E2699" s="29"/>
      <c r="H2699" s="27"/>
      <c r="K2699"/>
      <c r="P2699" s="27"/>
      <c r="Q2699" s="27"/>
      <c r="R2699" s="27"/>
    </row>
    <row r="2700" spans="1:18">
      <c r="A2700" s="28"/>
      <c r="B2700" s="29"/>
      <c r="C2700" s="29"/>
      <c r="D2700" s="29"/>
      <c r="E2700" s="29"/>
      <c r="H2700" s="27"/>
      <c r="K2700"/>
      <c r="P2700" s="27"/>
      <c r="Q2700" s="27"/>
      <c r="R2700" s="27"/>
    </row>
    <row r="2701" spans="1:18">
      <c r="A2701" s="28"/>
      <c r="B2701" s="29"/>
      <c r="C2701" s="29"/>
      <c r="D2701" s="29"/>
      <c r="E2701" s="29"/>
      <c r="H2701" s="27"/>
      <c r="K2701"/>
      <c r="P2701" s="27"/>
      <c r="Q2701" s="27"/>
      <c r="R2701" s="27"/>
    </row>
    <row r="2702" spans="1:18">
      <c r="A2702" s="28"/>
      <c r="B2702" s="29"/>
      <c r="C2702" s="29"/>
      <c r="D2702" s="29"/>
      <c r="E2702" s="29"/>
      <c r="H2702" s="27"/>
      <c r="K2702"/>
      <c r="P2702" s="27"/>
      <c r="Q2702" s="27"/>
      <c r="R2702" s="27"/>
    </row>
    <row r="2703" spans="1:18">
      <c r="A2703" s="28"/>
      <c r="B2703" s="29"/>
      <c r="C2703" s="29"/>
      <c r="D2703" s="29"/>
      <c r="E2703" s="29"/>
      <c r="H2703" s="27"/>
      <c r="K2703"/>
      <c r="P2703" s="27"/>
      <c r="Q2703" s="27"/>
      <c r="R2703" s="27"/>
    </row>
    <row r="2704" spans="1:18">
      <c r="A2704" s="28"/>
      <c r="B2704" s="29"/>
      <c r="C2704" s="29"/>
      <c r="D2704" s="29"/>
      <c r="E2704" s="29"/>
      <c r="H2704" s="27"/>
      <c r="K2704"/>
      <c r="P2704" s="27"/>
      <c r="Q2704" s="27"/>
      <c r="R2704" s="27"/>
    </row>
    <row r="2705" spans="1:18">
      <c r="A2705" s="28"/>
      <c r="B2705" s="29"/>
      <c r="C2705" s="29"/>
      <c r="D2705" s="29"/>
      <c r="E2705" s="29"/>
      <c r="H2705" s="27"/>
      <c r="K2705"/>
      <c r="P2705" s="27"/>
      <c r="Q2705" s="27"/>
      <c r="R2705" s="27"/>
    </row>
    <row r="2706" spans="1:18">
      <c r="A2706" s="28"/>
      <c r="B2706" s="29"/>
      <c r="C2706" s="29"/>
      <c r="D2706" s="29"/>
      <c r="E2706" s="29"/>
      <c r="H2706" s="27"/>
      <c r="K2706"/>
      <c r="P2706" s="27"/>
      <c r="Q2706" s="27"/>
      <c r="R2706" s="27"/>
    </row>
    <row r="2707" spans="1:18">
      <c r="A2707" s="28"/>
      <c r="B2707" s="29"/>
      <c r="C2707" s="29"/>
      <c r="D2707" s="29"/>
      <c r="E2707" s="29"/>
      <c r="H2707" s="27"/>
      <c r="K2707"/>
      <c r="P2707" s="27"/>
      <c r="Q2707" s="27"/>
      <c r="R2707" s="27"/>
    </row>
    <row r="2708" spans="1:18">
      <c r="A2708" s="28"/>
      <c r="B2708" s="29"/>
      <c r="C2708" s="29"/>
      <c r="D2708" s="29"/>
      <c r="E2708" s="29"/>
      <c r="H2708" s="27"/>
      <c r="K2708"/>
      <c r="P2708" s="27"/>
      <c r="Q2708" s="27"/>
      <c r="R2708" s="27"/>
    </row>
    <row r="2709" spans="1:18">
      <c r="A2709" s="28"/>
      <c r="B2709" s="29"/>
      <c r="C2709" s="29"/>
      <c r="D2709" s="29"/>
      <c r="E2709" s="29"/>
      <c r="H2709" s="27"/>
      <c r="K2709"/>
      <c r="P2709" s="27"/>
      <c r="Q2709" s="27"/>
      <c r="R2709" s="27"/>
    </row>
    <row r="2710" spans="1:18">
      <c r="A2710" s="28"/>
      <c r="B2710" s="29"/>
      <c r="C2710" s="29"/>
      <c r="D2710" s="29"/>
      <c r="E2710" s="29"/>
      <c r="H2710" s="27"/>
      <c r="K2710"/>
      <c r="P2710" s="27"/>
      <c r="Q2710" s="27"/>
      <c r="R2710" s="27"/>
    </row>
    <row r="2711" spans="1:18">
      <c r="A2711" s="28"/>
      <c r="B2711" s="29"/>
      <c r="C2711" s="29"/>
      <c r="D2711" s="29"/>
      <c r="E2711" s="29"/>
      <c r="H2711" s="27"/>
      <c r="K2711"/>
      <c r="P2711" s="27"/>
      <c r="Q2711" s="27"/>
      <c r="R2711" s="27"/>
    </row>
    <row r="2712" spans="1:18">
      <c r="A2712" s="28"/>
      <c r="B2712" s="29"/>
      <c r="C2712" s="29"/>
      <c r="D2712" s="29"/>
      <c r="E2712" s="29"/>
      <c r="H2712" s="27"/>
      <c r="K2712"/>
      <c r="P2712" s="27"/>
      <c r="Q2712" s="27"/>
      <c r="R2712" s="27"/>
    </row>
    <row r="2713" spans="1:18">
      <c r="A2713" s="28"/>
      <c r="B2713" s="29"/>
      <c r="C2713" s="29"/>
      <c r="D2713" s="29"/>
      <c r="E2713" s="29"/>
      <c r="H2713" s="27"/>
      <c r="K2713"/>
      <c r="P2713" s="27"/>
      <c r="Q2713" s="27"/>
      <c r="R2713" s="27"/>
    </row>
    <row r="2714" spans="1:18">
      <c r="A2714" s="28"/>
      <c r="B2714" s="29"/>
      <c r="C2714" s="29"/>
      <c r="D2714" s="29"/>
      <c r="E2714" s="29"/>
      <c r="H2714" s="27"/>
      <c r="K2714"/>
      <c r="P2714" s="27"/>
      <c r="Q2714" s="27"/>
      <c r="R2714" s="27"/>
    </row>
    <row r="2715" spans="1:18">
      <c r="A2715" s="28"/>
      <c r="B2715" s="29"/>
      <c r="C2715" s="29"/>
      <c r="D2715" s="29"/>
      <c r="E2715" s="29"/>
      <c r="H2715" s="27"/>
      <c r="K2715"/>
      <c r="P2715" s="27"/>
      <c r="Q2715" s="27"/>
      <c r="R2715" s="27"/>
    </row>
    <row r="2716" spans="1:18">
      <c r="A2716" s="28"/>
      <c r="B2716" s="29"/>
      <c r="C2716" s="29"/>
      <c r="D2716" s="29"/>
      <c r="E2716" s="29"/>
      <c r="H2716" s="27"/>
      <c r="K2716"/>
      <c r="P2716" s="27"/>
      <c r="Q2716" s="27"/>
      <c r="R2716" s="27"/>
    </row>
    <row r="2717" spans="1:18">
      <c r="A2717" s="28"/>
      <c r="B2717" s="29"/>
      <c r="C2717" s="29"/>
      <c r="D2717" s="29"/>
      <c r="E2717" s="29"/>
      <c r="H2717" s="27"/>
      <c r="K2717"/>
      <c r="P2717" s="27"/>
      <c r="Q2717" s="27"/>
      <c r="R2717" s="27"/>
    </row>
    <row r="2718" spans="1:18">
      <c r="A2718" s="28"/>
      <c r="B2718" s="29"/>
      <c r="C2718" s="29"/>
      <c r="D2718" s="29"/>
      <c r="E2718" s="29"/>
      <c r="H2718" s="27"/>
      <c r="K2718"/>
      <c r="P2718" s="27"/>
      <c r="Q2718" s="27"/>
      <c r="R2718" s="27"/>
    </row>
    <row r="2719" spans="1:18">
      <c r="A2719" s="28"/>
      <c r="B2719" s="29"/>
      <c r="C2719" s="29"/>
      <c r="D2719" s="29"/>
      <c r="E2719" s="29"/>
      <c r="H2719" s="27"/>
      <c r="K2719"/>
      <c r="P2719" s="27"/>
      <c r="Q2719" s="27"/>
      <c r="R2719" s="27"/>
    </row>
    <row r="2720" spans="1:18">
      <c r="A2720" s="28"/>
      <c r="B2720" s="29"/>
      <c r="C2720" s="29"/>
      <c r="D2720" s="29"/>
      <c r="E2720" s="29"/>
      <c r="H2720" s="27"/>
      <c r="K2720"/>
      <c r="P2720" s="27"/>
      <c r="Q2720" s="27"/>
      <c r="R2720" s="27"/>
    </row>
    <row r="2721" spans="1:18">
      <c r="A2721" s="28"/>
      <c r="B2721" s="29"/>
      <c r="C2721" s="29"/>
      <c r="D2721" s="29"/>
      <c r="E2721" s="29"/>
      <c r="H2721" s="27"/>
      <c r="K2721"/>
      <c r="P2721" s="27"/>
      <c r="Q2721" s="27"/>
      <c r="R2721" s="27"/>
    </row>
    <row r="2722" spans="1:18">
      <c r="A2722" s="28"/>
      <c r="B2722" s="29"/>
      <c r="C2722" s="29"/>
      <c r="D2722" s="29"/>
      <c r="E2722" s="29"/>
      <c r="H2722" s="27"/>
      <c r="K2722"/>
      <c r="P2722" s="27"/>
      <c r="Q2722" s="27"/>
      <c r="R2722" s="27"/>
    </row>
    <row r="2723" spans="1:18">
      <c r="A2723" s="28"/>
      <c r="B2723" s="29"/>
      <c r="C2723" s="29"/>
      <c r="D2723" s="29"/>
      <c r="E2723" s="29"/>
      <c r="H2723" s="27"/>
      <c r="K2723"/>
      <c r="P2723" s="27"/>
      <c r="Q2723" s="27"/>
      <c r="R2723" s="27"/>
    </row>
    <row r="2724" spans="1:18">
      <c r="A2724" s="28"/>
      <c r="B2724" s="29"/>
      <c r="C2724" s="29"/>
      <c r="D2724" s="29"/>
      <c r="E2724" s="29"/>
      <c r="H2724" s="27"/>
      <c r="K2724"/>
      <c r="P2724" s="27"/>
      <c r="Q2724" s="27"/>
      <c r="R2724" s="27"/>
    </row>
    <row r="2725" spans="1:18">
      <c r="A2725" s="28"/>
      <c r="B2725" s="29"/>
      <c r="C2725" s="29"/>
      <c r="D2725" s="29"/>
      <c r="E2725" s="29"/>
      <c r="H2725" s="27"/>
      <c r="K2725"/>
      <c r="P2725" s="27"/>
      <c r="Q2725" s="27"/>
      <c r="R2725" s="27"/>
    </row>
    <row r="2726" spans="1:18">
      <c r="A2726" s="28"/>
      <c r="B2726" s="29"/>
      <c r="C2726" s="29"/>
      <c r="D2726" s="29"/>
      <c r="E2726" s="29"/>
      <c r="H2726" s="27"/>
      <c r="K2726"/>
      <c r="P2726" s="27"/>
      <c r="Q2726" s="27"/>
      <c r="R2726" s="27"/>
    </row>
    <row r="2727" spans="1:18">
      <c r="A2727" s="28"/>
      <c r="B2727" s="29"/>
      <c r="C2727" s="29"/>
      <c r="D2727" s="29"/>
      <c r="E2727" s="29"/>
      <c r="H2727" s="27"/>
      <c r="K2727"/>
      <c r="P2727" s="27"/>
      <c r="Q2727" s="27"/>
      <c r="R2727" s="27"/>
    </row>
    <row r="2728" spans="1:18">
      <c r="A2728" s="28"/>
      <c r="B2728" s="29"/>
      <c r="C2728" s="29"/>
      <c r="D2728" s="29"/>
      <c r="E2728" s="29"/>
      <c r="H2728" s="27"/>
      <c r="K2728"/>
      <c r="P2728" s="27"/>
      <c r="Q2728" s="27"/>
      <c r="R2728" s="27"/>
    </row>
    <row r="2729" spans="1:18">
      <c r="A2729" s="28"/>
      <c r="B2729" s="29"/>
      <c r="C2729" s="29"/>
      <c r="D2729" s="29"/>
      <c r="E2729" s="29"/>
      <c r="H2729" s="27"/>
      <c r="K2729"/>
      <c r="P2729" s="27"/>
      <c r="Q2729" s="27"/>
      <c r="R2729" s="27"/>
    </row>
    <row r="2730" spans="1:18">
      <c r="A2730" s="28"/>
      <c r="B2730" s="29"/>
      <c r="C2730" s="29"/>
      <c r="D2730" s="29"/>
      <c r="E2730" s="29"/>
      <c r="H2730" s="27"/>
      <c r="K2730"/>
      <c r="P2730" s="27"/>
      <c r="Q2730" s="27"/>
      <c r="R2730" s="27"/>
    </row>
    <row r="2731" spans="1:18">
      <c r="A2731" s="28"/>
      <c r="B2731" s="29"/>
      <c r="C2731" s="29"/>
      <c r="D2731" s="29"/>
      <c r="E2731" s="29"/>
      <c r="H2731" s="27"/>
      <c r="K2731"/>
      <c r="P2731" s="27"/>
      <c r="Q2731" s="27"/>
      <c r="R2731" s="27"/>
    </row>
    <row r="2732" spans="1:18">
      <c r="A2732" s="28"/>
      <c r="B2732" s="29"/>
      <c r="C2732" s="29"/>
      <c r="D2732" s="29"/>
      <c r="E2732" s="29"/>
      <c r="H2732" s="27"/>
      <c r="K2732"/>
      <c r="P2732" s="27"/>
      <c r="Q2732" s="27"/>
      <c r="R2732" s="27"/>
    </row>
    <row r="2733" spans="1:18">
      <c r="A2733" s="28"/>
      <c r="B2733" s="29"/>
      <c r="C2733" s="29"/>
      <c r="D2733" s="29"/>
      <c r="E2733" s="29"/>
      <c r="H2733" s="27"/>
      <c r="K2733"/>
      <c r="P2733" s="27"/>
      <c r="Q2733" s="27"/>
      <c r="R2733" s="27"/>
    </row>
    <row r="2734" spans="1:18">
      <c r="A2734" s="28"/>
      <c r="B2734" s="29"/>
      <c r="C2734" s="29"/>
      <c r="D2734" s="29"/>
      <c r="E2734" s="29"/>
      <c r="H2734" s="27"/>
      <c r="K2734"/>
      <c r="P2734" s="27"/>
      <c r="Q2734" s="27"/>
      <c r="R2734" s="27"/>
    </row>
    <row r="2735" spans="1:18">
      <c r="A2735" s="28"/>
      <c r="B2735" s="29"/>
      <c r="C2735" s="29"/>
      <c r="D2735" s="29"/>
      <c r="E2735" s="29"/>
      <c r="H2735" s="27"/>
      <c r="K2735"/>
      <c r="P2735" s="27"/>
      <c r="Q2735" s="27"/>
      <c r="R2735" s="27"/>
    </row>
    <row r="2736" spans="1:18">
      <c r="A2736" s="28"/>
      <c r="B2736" s="29"/>
      <c r="C2736" s="29"/>
      <c r="D2736" s="29"/>
      <c r="E2736" s="29"/>
      <c r="H2736" s="27"/>
      <c r="K2736"/>
      <c r="P2736" s="27"/>
      <c r="Q2736" s="27"/>
      <c r="R2736" s="27"/>
    </row>
    <row r="2737" spans="1:18">
      <c r="A2737" s="28"/>
      <c r="B2737" s="29"/>
      <c r="C2737" s="29"/>
      <c r="D2737" s="29"/>
      <c r="E2737" s="29"/>
      <c r="H2737" s="27"/>
      <c r="K2737"/>
      <c r="P2737" s="27"/>
      <c r="Q2737" s="27"/>
      <c r="R2737" s="27"/>
    </row>
    <row r="2738" spans="1:18">
      <c r="A2738" s="28"/>
      <c r="B2738" s="29"/>
      <c r="C2738" s="29"/>
      <c r="D2738" s="29"/>
      <c r="E2738" s="29"/>
      <c r="H2738" s="27"/>
      <c r="K2738"/>
      <c r="P2738" s="27"/>
      <c r="Q2738" s="27"/>
      <c r="R2738" s="27"/>
    </row>
    <row r="2739" spans="1:18">
      <c r="A2739" s="28"/>
      <c r="B2739" s="29"/>
      <c r="C2739" s="29"/>
      <c r="D2739" s="29"/>
      <c r="E2739" s="29"/>
      <c r="H2739" s="27"/>
      <c r="K2739"/>
      <c r="P2739" s="27"/>
      <c r="Q2739" s="27"/>
      <c r="R2739" s="27"/>
    </row>
    <row r="2740" spans="1:18">
      <c r="A2740" s="28"/>
      <c r="B2740" s="29"/>
      <c r="C2740" s="29"/>
      <c r="D2740" s="29"/>
      <c r="E2740" s="29"/>
      <c r="H2740" s="27"/>
      <c r="K2740"/>
      <c r="P2740" s="27"/>
      <c r="Q2740" s="27"/>
      <c r="R2740" s="27"/>
    </row>
    <row r="2741" spans="1:18">
      <c r="A2741" s="28"/>
      <c r="B2741" s="29"/>
      <c r="C2741" s="29"/>
      <c r="D2741" s="29"/>
      <c r="E2741" s="29"/>
      <c r="H2741" s="27"/>
      <c r="K2741"/>
      <c r="P2741" s="27"/>
      <c r="Q2741" s="27"/>
      <c r="R2741" s="27"/>
    </row>
    <row r="2742" spans="1:18">
      <c r="A2742" s="28"/>
      <c r="B2742" s="29"/>
      <c r="C2742" s="29"/>
      <c r="D2742" s="29"/>
      <c r="E2742" s="29"/>
      <c r="H2742" s="27"/>
      <c r="K2742"/>
      <c r="P2742" s="27"/>
      <c r="Q2742" s="27"/>
      <c r="R2742" s="27"/>
    </row>
    <row r="2743" spans="1:18">
      <c r="A2743" s="28"/>
      <c r="B2743" s="29"/>
      <c r="C2743" s="29"/>
      <c r="D2743" s="29"/>
      <c r="E2743" s="29"/>
      <c r="H2743" s="27"/>
      <c r="K2743"/>
      <c r="P2743" s="27"/>
      <c r="Q2743" s="27"/>
      <c r="R2743" s="27"/>
    </row>
    <row r="2744" spans="1:18">
      <c r="A2744" s="28"/>
      <c r="B2744" s="29"/>
      <c r="C2744" s="29"/>
      <c r="D2744" s="29"/>
      <c r="E2744" s="29"/>
      <c r="H2744" s="27"/>
      <c r="K2744"/>
      <c r="P2744" s="27"/>
      <c r="Q2744" s="27"/>
      <c r="R2744" s="27"/>
    </row>
    <row r="2745" spans="1:18">
      <c r="A2745" s="28"/>
      <c r="B2745" s="29"/>
      <c r="C2745" s="29"/>
      <c r="D2745" s="29"/>
      <c r="E2745" s="29"/>
      <c r="H2745" s="27"/>
      <c r="K2745"/>
      <c r="P2745" s="27"/>
      <c r="Q2745" s="27"/>
      <c r="R2745" s="27"/>
    </row>
    <row r="2746" spans="1:18">
      <c r="A2746" s="28"/>
      <c r="B2746" s="29"/>
      <c r="C2746" s="29"/>
      <c r="D2746" s="29"/>
      <c r="E2746" s="29"/>
      <c r="H2746" s="27"/>
      <c r="K2746"/>
      <c r="P2746" s="27"/>
      <c r="Q2746" s="27"/>
      <c r="R2746" s="27"/>
    </row>
    <row r="2747" spans="1:18">
      <c r="A2747" s="28"/>
      <c r="B2747" s="29"/>
      <c r="C2747" s="29"/>
      <c r="D2747" s="29"/>
      <c r="E2747" s="29"/>
      <c r="H2747" s="27"/>
      <c r="K2747"/>
      <c r="P2747" s="27"/>
      <c r="Q2747" s="27"/>
      <c r="R2747" s="27"/>
    </row>
    <row r="2748" spans="1:18">
      <c r="A2748" s="28"/>
      <c r="B2748" s="29"/>
      <c r="C2748" s="29"/>
      <c r="D2748" s="29"/>
      <c r="E2748" s="29"/>
      <c r="H2748" s="27"/>
      <c r="K2748"/>
      <c r="P2748" s="27"/>
      <c r="Q2748" s="27"/>
      <c r="R2748" s="27"/>
    </row>
    <row r="2749" spans="1:18">
      <c r="A2749" s="28"/>
      <c r="B2749" s="29"/>
      <c r="C2749" s="29"/>
      <c r="D2749" s="29"/>
      <c r="E2749" s="29"/>
      <c r="H2749" s="27"/>
      <c r="K2749"/>
      <c r="P2749" s="27"/>
      <c r="Q2749" s="27"/>
      <c r="R2749" s="27"/>
    </row>
    <row r="2750" spans="1:18">
      <c r="A2750" s="28"/>
      <c r="B2750" s="29"/>
      <c r="C2750" s="29"/>
      <c r="D2750" s="29"/>
      <c r="E2750" s="29"/>
      <c r="H2750" s="27"/>
      <c r="K2750"/>
      <c r="P2750" s="27"/>
      <c r="Q2750" s="27"/>
      <c r="R2750" s="27"/>
    </row>
    <row r="2751" spans="1:18">
      <c r="A2751" s="28"/>
      <c r="B2751" s="29"/>
      <c r="C2751" s="29"/>
      <c r="D2751" s="29"/>
      <c r="E2751" s="29"/>
      <c r="H2751" s="27"/>
      <c r="K2751"/>
      <c r="P2751" s="27"/>
      <c r="Q2751" s="27"/>
      <c r="R2751" s="27"/>
    </row>
    <row r="2752" spans="1:18">
      <c r="A2752" s="28"/>
      <c r="B2752" s="29"/>
      <c r="C2752" s="29"/>
      <c r="D2752" s="29"/>
      <c r="E2752" s="29"/>
      <c r="H2752" s="27"/>
      <c r="K2752"/>
      <c r="P2752" s="27"/>
      <c r="Q2752" s="27"/>
      <c r="R2752" s="27"/>
    </row>
    <row r="2753" spans="1:18">
      <c r="A2753" s="28"/>
      <c r="B2753" s="29"/>
      <c r="C2753" s="29"/>
      <c r="D2753" s="29"/>
      <c r="E2753" s="29"/>
      <c r="H2753" s="27"/>
      <c r="K2753"/>
      <c r="P2753" s="27"/>
      <c r="Q2753" s="27"/>
      <c r="R2753" s="27"/>
    </row>
    <row r="2754" spans="1:18">
      <c r="A2754" s="28"/>
      <c r="B2754" s="29"/>
      <c r="C2754" s="29"/>
      <c r="D2754" s="29"/>
      <c r="E2754" s="29"/>
      <c r="H2754" s="27"/>
      <c r="K2754"/>
      <c r="P2754" s="27"/>
      <c r="Q2754" s="27"/>
      <c r="R2754" s="27"/>
    </row>
    <row r="2755" spans="1:18">
      <c r="A2755" s="28"/>
      <c r="B2755" s="29"/>
      <c r="C2755" s="29"/>
      <c r="D2755" s="29"/>
      <c r="E2755" s="29"/>
      <c r="H2755" s="27"/>
      <c r="K2755"/>
      <c r="P2755" s="27"/>
      <c r="Q2755" s="27"/>
      <c r="R2755" s="27"/>
    </row>
    <row r="2756" spans="1:18">
      <c r="A2756" s="28"/>
      <c r="B2756" s="29"/>
      <c r="C2756" s="29"/>
      <c r="D2756" s="29"/>
      <c r="E2756" s="29"/>
      <c r="H2756" s="27"/>
      <c r="K2756"/>
      <c r="P2756" s="27"/>
      <c r="Q2756" s="27"/>
      <c r="R2756" s="27"/>
    </row>
    <row r="2757" spans="1:18">
      <c r="A2757" s="28"/>
      <c r="B2757" s="29"/>
      <c r="C2757" s="29"/>
      <c r="D2757" s="29"/>
      <c r="E2757" s="29"/>
      <c r="H2757" s="27"/>
      <c r="K2757"/>
      <c r="P2757" s="27"/>
      <c r="Q2757" s="27"/>
      <c r="R2757" s="27"/>
    </row>
    <row r="2758" spans="1:18">
      <c r="A2758" s="28"/>
      <c r="B2758" s="29"/>
      <c r="C2758" s="29"/>
      <c r="D2758" s="29"/>
      <c r="E2758" s="29"/>
      <c r="H2758" s="27"/>
      <c r="K2758"/>
      <c r="P2758" s="27"/>
      <c r="Q2758" s="27"/>
      <c r="R2758" s="27"/>
    </row>
    <row r="2759" spans="1:18">
      <c r="A2759" s="28"/>
      <c r="B2759" s="29"/>
      <c r="C2759" s="29"/>
      <c r="D2759" s="29"/>
      <c r="E2759" s="29"/>
      <c r="H2759" s="27"/>
      <c r="K2759"/>
      <c r="P2759" s="27"/>
      <c r="Q2759" s="27"/>
      <c r="R2759" s="27"/>
    </row>
    <row r="2760" spans="1:18">
      <c r="A2760" s="28"/>
      <c r="B2760" s="29"/>
      <c r="C2760" s="29"/>
      <c r="D2760" s="29"/>
      <c r="E2760" s="29"/>
      <c r="H2760" s="27"/>
      <c r="K2760"/>
      <c r="P2760" s="27"/>
      <c r="Q2760" s="27"/>
      <c r="R2760" s="27"/>
    </row>
    <row r="2761" spans="1:18">
      <c r="A2761" s="28"/>
      <c r="B2761" s="29"/>
      <c r="C2761" s="29"/>
      <c r="D2761" s="29"/>
      <c r="E2761" s="29"/>
      <c r="H2761" s="27"/>
      <c r="K2761"/>
      <c r="P2761" s="27"/>
      <c r="Q2761" s="27"/>
      <c r="R2761" s="27"/>
    </row>
    <row r="2762" spans="1:18">
      <c r="A2762" s="28"/>
      <c r="B2762" s="29"/>
      <c r="C2762" s="29"/>
      <c r="D2762" s="29"/>
      <c r="E2762" s="29"/>
      <c r="H2762" s="27"/>
      <c r="K2762"/>
      <c r="P2762" s="27"/>
      <c r="Q2762" s="27"/>
      <c r="R2762" s="27"/>
    </row>
    <row r="2763" spans="1:18">
      <c r="A2763" s="28"/>
      <c r="B2763" s="29"/>
      <c r="C2763" s="29"/>
      <c r="D2763" s="29"/>
      <c r="E2763" s="29"/>
      <c r="H2763" s="27"/>
      <c r="K2763"/>
      <c r="P2763" s="27"/>
      <c r="Q2763" s="27"/>
      <c r="R2763" s="27"/>
    </row>
    <row r="2764" spans="1:18">
      <c r="A2764" s="28"/>
      <c r="B2764" s="29"/>
      <c r="C2764" s="29"/>
      <c r="D2764" s="29"/>
      <c r="E2764" s="29"/>
      <c r="H2764" s="27"/>
      <c r="K2764"/>
      <c r="P2764" s="27"/>
      <c r="Q2764" s="27"/>
      <c r="R2764" s="27"/>
    </row>
    <row r="2765" spans="1:18">
      <c r="A2765" s="28"/>
      <c r="B2765" s="29"/>
      <c r="C2765" s="29"/>
      <c r="D2765" s="29"/>
      <c r="E2765" s="29"/>
      <c r="H2765" s="27"/>
      <c r="K2765"/>
      <c r="P2765" s="27"/>
      <c r="Q2765" s="27"/>
      <c r="R2765" s="27"/>
    </row>
    <row r="2766" spans="1:18">
      <c r="A2766" s="28"/>
      <c r="B2766" s="29"/>
      <c r="C2766" s="29"/>
      <c r="D2766" s="29"/>
      <c r="E2766" s="29"/>
      <c r="H2766" s="27"/>
      <c r="K2766"/>
      <c r="P2766" s="27"/>
      <c r="Q2766" s="27"/>
      <c r="R2766" s="27"/>
    </row>
    <row r="2767" spans="1:18">
      <c r="A2767" s="28"/>
      <c r="B2767" s="29"/>
      <c r="C2767" s="29"/>
      <c r="D2767" s="29"/>
      <c r="E2767" s="29"/>
      <c r="H2767" s="27"/>
      <c r="K2767"/>
      <c r="P2767" s="27"/>
      <c r="Q2767" s="27"/>
      <c r="R2767" s="27"/>
    </row>
    <row r="2768" spans="1:18">
      <c r="A2768" s="28"/>
      <c r="B2768" s="29"/>
      <c r="C2768" s="29"/>
      <c r="D2768" s="29"/>
      <c r="E2768" s="29"/>
      <c r="H2768" s="27"/>
      <c r="K2768"/>
      <c r="P2768" s="27"/>
      <c r="Q2768" s="27"/>
      <c r="R2768" s="27"/>
    </row>
    <row r="2769" spans="1:18">
      <c r="A2769" s="28"/>
      <c r="B2769" s="29"/>
      <c r="C2769" s="29"/>
      <c r="D2769" s="29"/>
      <c r="E2769" s="29"/>
      <c r="H2769" s="27"/>
      <c r="K2769"/>
      <c r="P2769" s="27"/>
      <c r="Q2769" s="27"/>
      <c r="R2769" s="27"/>
    </row>
    <row r="2770" spans="1:18">
      <c r="A2770" s="28"/>
      <c r="B2770" s="29"/>
      <c r="C2770" s="29"/>
      <c r="D2770" s="29"/>
      <c r="E2770" s="29"/>
      <c r="H2770" s="27"/>
      <c r="K2770"/>
      <c r="P2770" s="27"/>
      <c r="Q2770" s="27"/>
      <c r="R2770" s="27"/>
    </row>
    <row r="2771" spans="1:18">
      <c r="A2771" s="28"/>
      <c r="B2771" s="29"/>
      <c r="C2771" s="29"/>
      <c r="D2771" s="29"/>
      <c r="E2771" s="29"/>
      <c r="H2771" s="27"/>
      <c r="K2771"/>
      <c r="P2771" s="27"/>
      <c r="Q2771" s="27"/>
      <c r="R2771" s="27"/>
    </row>
    <row r="2772" spans="1:18">
      <c r="A2772" s="28"/>
      <c r="B2772" s="29"/>
      <c r="C2772" s="29"/>
      <c r="D2772" s="29"/>
      <c r="E2772" s="29"/>
      <c r="H2772" s="27"/>
      <c r="K2772"/>
      <c r="P2772" s="27"/>
      <c r="Q2772" s="27"/>
      <c r="R2772" s="27"/>
    </row>
    <row r="2773" spans="1:18">
      <c r="A2773" s="28"/>
      <c r="B2773" s="29"/>
      <c r="C2773" s="29"/>
      <c r="D2773" s="29"/>
      <c r="E2773" s="29"/>
      <c r="H2773" s="27"/>
      <c r="K2773"/>
      <c r="P2773" s="27"/>
      <c r="Q2773" s="27"/>
      <c r="R2773" s="27"/>
    </row>
    <row r="2774" spans="1:18">
      <c r="A2774" s="28"/>
      <c r="B2774" s="29"/>
      <c r="C2774" s="29"/>
      <c r="D2774" s="29"/>
      <c r="E2774" s="29"/>
      <c r="H2774" s="27"/>
      <c r="K2774"/>
      <c r="P2774" s="27"/>
      <c r="Q2774" s="27"/>
      <c r="R2774" s="27"/>
    </row>
    <row r="2775" spans="1:18">
      <c r="A2775" s="28"/>
      <c r="B2775" s="29"/>
      <c r="C2775" s="29"/>
      <c r="D2775" s="29"/>
      <c r="E2775" s="29"/>
      <c r="H2775" s="27"/>
      <c r="K2775"/>
      <c r="P2775" s="27"/>
      <c r="Q2775" s="27"/>
      <c r="R2775" s="27"/>
    </row>
    <row r="2776" spans="1:18">
      <c r="A2776" s="28"/>
      <c r="B2776" s="29"/>
      <c r="C2776" s="29"/>
      <c r="D2776" s="29"/>
      <c r="E2776" s="29"/>
      <c r="H2776" s="27"/>
      <c r="K2776"/>
      <c r="P2776" s="27"/>
      <c r="Q2776" s="27"/>
      <c r="R2776" s="27"/>
    </row>
    <row r="2777" spans="1:18">
      <c r="A2777" s="28"/>
      <c r="B2777" s="29"/>
      <c r="C2777" s="29"/>
      <c r="D2777" s="29"/>
      <c r="E2777" s="29"/>
      <c r="H2777" s="27"/>
      <c r="K2777"/>
      <c r="P2777" s="27"/>
      <c r="Q2777" s="27"/>
      <c r="R2777" s="27"/>
    </row>
    <row r="2778" spans="1:18">
      <c r="A2778" s="28"/>
      <c r="B2778" s="29"/>
      <c r="C2778" s="29"/>
      <c r="D2778" s="29"/>
      <c r="E2778" s="29"/>
      <c r="H2778" s="27"/>
      <c r="K2778"/>
      <c r="P2778" s="27"/>
      <c r="Q2778" s="27"/>
      <c r="R2778" s="27"/>
    </row>
    <row r="2779" spans="1:18">
      <c r="A2779" s="28"/>
      <c r="B2779" s="29"/>
      <c r="C2779" s="29"/>
      <c r="D2779" s="29"/>
      <c r="E2779" s="29"/>
      <c r="H2779" s="27"/>
      <c r="K2779"/>
      <c r="P2779" s="27"/>
      <c r="Q2779" s="27"/>
      <c r="R2779" s="27"/>
    </row>
    <row r="2780" spans="1:18">
      <c r="A2780" s="28"/>
      <c r="B2780" s="29"/>
      <c r="C2780" s="29"/>
      <c r="D2780" s="29"/>
      <c r="E2780" s="29"/>
      <c r="H2780" s="27"/>
      <c r="K2780"/>
      <c r="P2780" s="27"/>
      <c r="Q2780" s="27"/>
      <c r="R2780" s="27"/>
    </row>
    <row r="2781" spans="1:18">
      <c r="A2781" s="28"/>
      <c r="B2781" s="29"/>
      <c r="C2781" s="29"/>
      <c r="D2781" s="29"/>
      <c r="E2781" s="29"/>
      <c r="H2781" s="27"/>
      <c r="K2781"/>
      <c r="P2781" s="27"/>
      <c r="Q2781" s="27"/>
      <c r="R2781" s="27"/>
    </row>
    <row r="2782" spans="1:18">
      <c r="A2782" s="28"/>
      <c r="B2782" s="29"/>
      <c r="C2782" s="29"/>
      <c r="D2782" s="29"/>
      <c r="E2782" s="29"/>
      <c r="H2782" s="27"/>
      <c r="K2782"/>
      <c r="P2782" s="27"/>
      <c r="Q2782" s="27"/>
      <c r="R2782" s="27"/>
    </row>
    <row r="2783" spans="1:18">
      <c r="A2783" s="28"/>
      <c r="B2783" s="29"/>
      <c r="C2783" s="29"/>
      <c r="D2783" s="29"/>
      <c r="E2783" s="29"/>
      <c r="H2783" s="27"/>
      <c r="K2783"/>
      <c r="P2783" s="27"/>
      <c r="Q2783" s="27"/>
      <c r="R2783" s="27"/>
    </row>
    <row r="2784" spans="1:18">
      <c r="A2784" s="28"/>
      <c r="B2784" s="29"/>
      <c r="C2784" s="29"/>
      <c r="D2784" s="29"/>
      <c r="E2784" s="29"/>
      <c r="H2784" s="27"/>
      <c r="K2784"/>
      <c r="P2784" s="27"/>
      <c r="Q2784" s="27"/>
      <c r="R2784" s="27"/>
    </row>
    <row r="2785" spans="1:18">
      <c r="A2785" s="28"/>
      <c r="B2785" s="29"/>
      <c r="C2785" s="29"/>
      <c r="D2785" s="29"/>
      <c r="E2785" s="29"/>
      <c r="H2785" s="27"/>
      <c r="K2785"/>
      <c r="P2785" s="27"/>
      <c r="Q2785" s="27"/>
      <c r="R2785" s="27"/>
    </row>
    <row r="2786" spans="1:18">
      <c r="A2786" s="28"/>
      <c r="B2786" s="29"/>
      <c r="C2786" s="29"/>
      <c r="D2786" s="29"/>
      <c r="E2786" s="29"/>
      <c r="H2786" s="27"/>
      <c r="K2786"/>
      <c r="P2786" s="27"/>
      <c r="Q2786" s="27"/>
      <c r="R2786" s="27"/>
    </row>
    <row r="2787" spans="1:18">
      <c r="A2787" s="28"/>
      <c r="B2787" s="29"/>
      <c r="C2787" s="29"/>
      <c r="D2787" s="29"/>
      <c r="E2787" s="29"/>
      <c r="H2787" s="27"/>
      <c r="K2787"/>
      <c r="P2787" s="27"/>
      <c r="Q2787" s="27"/>
      <c r="R2787" s="27"/>
    </row>
    <row r="2788" spans="1:18">
      <c r="A2788" s="28"/>
      <c r="B2788" s="29"/>
      <c r="C2788" s="29"/>
      <c r="D2788" s="29"/>
      <c r="E2788" s="29"/>
      <c r="H2788" s="27"/>
      <c r="K2788"/>
      <c r="P2788" s="27"/>
      <c r="Q2788" s="27"/>
      <c r="R2788" s="27"/>
    </row>
    <row r="2789" spans="1:18">
      <c r="A2789" s="28"/>
      <c r="B2789" s="29"/>
      <c r="C2789" s="29"/>
      <c r="D2789" s="29"/>
      <c r="E2789" s="29"/>
      <c r="H2789" s="27"/>
      <c r="K2789"/>
      <c r="P2789" s="27"/>
      <c r="Q2789" s="27"/>
      <c r="R2789" s="27"/>
    </row>
    <row r="2790" spans="1:18">
      <c r="A2790" s="28"/>
      <c r="B2790" s="29"/>
      <c r="C2790" s="29"/>
      <c r="D2790" s="29"/>
      <c r="E2790" s="29"/>
      <c r="H2790" s="27"/>
      <c r="K2790"/>
      <c r="P2790" s="27"/>
      <c r="Q2790" s="27"/>
      <c r="R2790" s="27"/>
    </row>
    <row r="2791" spans="1:18">
      <c r="A2791" s="28"/>
      <c r="B2791" s="29"/>
      <c r="C2791" s="29"/>
      <c r="D2791" s="29"/>
      <c r="E2791" s="29"/>
      <c r="H2791" s="27"/>
      <c r="K2791"/>
      <c r="P2791" s="27"/>
      <c r="Q2791" s="27"/>
      <c r="R2791" s="27"/>
    </row>
    <row r="2792" spans="1:18">
      <c r="A2792" s="28"/>
      <c r="B2792" s="29"/>
      <c r="C2792" s="29"/>
      <c r="D2792" s="29"/>
      <c r="E2792" s="29"/>
      <c r="H2792" s="27"/>
      <c r="K2792"/>
      <c r="P2792" s="27"/>
      <c r="Q2792" s="27"/>
      <c r="R2792" s="27"/>
    </row>
    <row r="2793" spans="1:18">
      <c r="A2793" s="28"/>
      <c r="B2793" s="29"/>
      <c r="C2793" s="29"/>
      <c r="D2793" s="29"/>
      <c r="E2793" s="29"/>
      <c r="H2793" s="27"/>
      <c r="K2793"/>
      <c r="P2793" s="27"/>
      <c r="Q2793" s="27"/>
      <c r="R2793" s="27"/>
    </row>
    <row r="2794" spans="1:18">
      <c r="A2794" s="28"/>
      <c r="B2794" s="29"/>
      <c r="C2794" s="29"/>
      <c r="D2794" s="29"/>
      <c r="E2794" s="29"/>
      <c r="H2794" s="27"/>
      <c r="K2794"/>
      <c r="P2794" s="27"/>
      <c r="Q2794" s="27"/>
      <c r="R2794" s="27"/>
    </row>
    <row r="2795" spans="1:18">
      <c r="A2795" s="28"/>
      <c r="B2795" s="29"/>
      <c r="C2795" s="29"/>
      <c r="D2795" s="29"/>
      <c r="E2795" s="29"/>
      <c r="H2795" s="27"/>
      <c r="K2795"/>
      <c r="P2795" s="27"/>
      <c r="Q2795" s="27"/>
      <c r="R2795" s="27"/>
    </row>
    <row r="2796" spans="1:18">
      <c r="A2796" s="28"/>
      <c r="B2796" s="29"/>
      <c r="C2796" s="29"/>
      <c r="D2796" s="29"/>
      <c r="E2796" s="29"/>
      <c r="H2796" s="27"/>
      <c r="K2796"/>
      <c r="P2796" s="27"/>
      <c r="Q2796" s="27"/>
      <c r="R2796" s="27"/>
    </row>
    <row r="2797" spans="1:18">
      <c r="A2797" s="28"/>
      <c r="B2797" s="29"/>
      <c r="C2797" s="29"/>
      <c r="D2797" s="29"/>
      <c r="E2797" s="29"/>
      <c r="H2797" s="27"/>
      <c r="K2797"/>
      <c r="P2797" s="27"/>
      <c r="Q2797" s="27"/>
      <c r="R2797" s="27"/>
    </row>
    <row r="2798" spans="1:18">
      <c r="A2798" s="28"/>
      <c r="B2798" s="29"/>
      <c r="C2798" s="29"/>
      <c r="D2798" s="29"/>
      <c r="E2798" s="29"/>
      <c r="H2798" s="27"/>
      <c r="K2798"/>
      <c r="P2798" s="27"/>
      <c r="Q2798" s="27"/>
      <c r="R2798" s="27"/>
    </row>
    <row r="2799" spans="1:18">
      <c r="A2799" s="28"/>
      <c r="B2799" s="29"/>
      <c r="C2799" s="29"/>
      <c r="D2799" s="29"/>
      <c r="E2799" s="29"/>
      <c r="H2799" s="27"/>
      <c r="K2799"/>
      <c r="P2799" s="27"/>
      <c r="Q2799" s="27"/>
      <c r="R2799" s="27"/>
    </row>
    <row r="2800" spans="1:18">
      <c r="A2800" s="28"/>
      <c r="B2800" s="29"/>
      <c r="C2800" s="29"/>
      <c r="D2800" s="29"/>
      <c r="E2800" s="29"/>
      <c r="H2800" s="27"/>
      <c r="K2800"/>
      <c r="P2800" s="27"/>
      <c r="Q2800" s="27"/>
      <c r="R2800" s="27"/>
    </row>
    <row r="2801" spans="1:18">
      <c r="A2801" s="28"/>
      <c r="B2801" s="29"/>
      <c r="C2801" s="29"/>
      <c r="D2801" s="29"/>
      <c r="E2801" s="29"/>
      <c r="H2801" s="27"/>
      <c r="K2801"/>
      <c r="P2801" s="27"/>
      <c r="Q2801" s="27"/>
      <c r="R2801" s="27"/>
    </row>
    <row r="2802" spans="1:18">
      <c r="A2802" s="28"/>
      <c r="B2802" s="29"/>
      <c r="C2802" s="29"/>
      <c r="D2802" s="29"/>
      <c r="E2802" s="29"/>
      <c r="H2802" s="27"/>
      <c r="K2802"/>
      <c r="P2802" s="27"/>
      <c r="Q2802" s="27"/>
      <c r="R2802" s="27"/>
    </row>
    <row r="2803" spans="1:18">
      <c r="A2803" s="28"/>
      <c r="B2803" s="29"/>
      <c r="C2803" s="29"/>
      <c r="D2803" s="29"/>
      <c r="E2803" s="29"/>
      <c r="H2803" s="27"/>
      <c r="K2803"/>
      <c r="P2803" s="27"/>
      <c r="Q2803" s="27"/>
      <c r="R2803" s="27"/>
    </row>
    <row r="2804" spans="1:18">
      <c r="A2804" s="28"/>
      <c r="B2804" s="29"/>
      <c r="C2804" s="29"/>
      <c r="D2804" s="29"/>
      <c r="E2804" s="29"/>
      <c r="H2804" s="27"/>
      <c r="K2804"/>
      <c r="P2804" s="27"/>
      <c r="Q2804" s="27"/>
      <c r="R2804" s="27"/>
    </row>
    <row r="2805" spans="1:18">
      <c r="A2805" s="28"/>
      <c r="B2805" s="29"/>
      <c r="C2805" s="29"/>
      <c r="D2805" s="29"/>
      <c r="E2805" s="29"/>
      <c r="H2805" s="27"/>
      <c r="K2805"/>
      <c r="P2805" s="27"/>
      <c r="Q2805" s="27"/>
      <c r="R2805" s="27"/>
    </row>
    <row r="2806" spans="1:18">
      <c r="A2806" s="28"/>
      <c r="B2806" s="29"/>
      <c r="C2806" s="29"/>
      <c r="D2806" s="29"/>
      <c r="E2806" s="29"/>
      <c r="H2806" s="27"/>
      <c r="K2806"/>
      <c r="P2806" s="27"/>
      <c r="Q2806" s="27"/>
      <c r="R2806" s="27"/>
    </row>
    <row r="2807" spans="1:18">
      <c r="A2807" s="28"/>
      <c r="B2807" s="29"/>
      <c r="C2807" s="29"/>
      <c r="D2807" s="29"/>
      <c r="E2807" s="29"/>
      <c r="H2807" s="27"/>
      <c r="K2807"/>
      <c r="P2807" s="27"/>
      <c r="Q2807" s="27"/>
      <c r="R2807" s="27"/>
    </row>
    <row r="2808" spans="1:18">
      <c r="A2808" s="28"/>
      <c r="B2808" s="29"/>
      <c r="C2808" s="29"/>
      <c r="D2808" s="29"/>
      <c r="E2808" s="29"/>
      <c r="H2808" s="27"/>
      <c r="K2808"/>
      <c r="P2808" s="27"/>
      <c r="Q2808" s="27"/>
      <c r="R2808" s="27"/>
    </row>
    <row r="2809" spans="1:18">
      <c r="A2809" s="28"/>
      <c r="B2809" s="29"/>
      <c r="C2809" s="29"/>
      <c r="D2809" s="29"/>
      <c r="E2809" s="29"/>
      <c r="H2809" s="27"/>
      <c r="K2809"/>
      <c r="P2809" s="27"/>
      <c r="Q2809" s="27"/>
      <c r="R2809" s="27"/>
    </row>
    <row r="2810" spans="1:18">
      <c r="A2810" s="28"/>
      <c r="B2810" s="29"/>
      <c r="C2810" s="29"/>
      <c r="D2810" s="29"/>
      <c r="E2810" s="29"/>
      <c r="H2810" s="27"/>
      <c r="K2810"/>
      <c r="P2810" s="27"/>
      <c r="Q2810" s="27"/>
      <c r="R2810" s="27"/>
    </row>
    <row r="2811" spans="1:18">
      <c r="A2811" s="28"/>
      <c r="B2811" s="29"/>
      <c r="C2811" s="29"/>
      <c r="D2811" s="29"/>
      <c r="E2811" s="29"/>
      <c r="H2811" s="27"/>
      <c r="K2811"/>
      <c r="P2811" s="27"/>
      <c r="Q2811" s="27"/>
      <c r="R2811" s="27"/>
    </row>
    <row r="2812" spans="1:18">
      <c r="A2812" s="28"/>
      <c r="B2812" s="29"/>
      <c r="C2812" s="29"/>
      <c r="D2812" s="29"/>
      <c r="E2812" s="29"/>
      <c r="H2812" s="27"/>
      <c r="K2812"/>
      <c r="P2812" s="27"/>
      <c r="Q2812" s="27"/>
      <c r="R2812" s="27"/>
    </row>
    <row r="2813" spans="1:18">
      <c r="A2813" s="28"/>
      <c r="B2813" s="29"/>
      <c r="C2813" s="29"/>
      <c r="D2813" s="29"/>
      <c r="E2813" s="29"/>
      <c r="H2813" s="27"/>
      <c r="K2813"/>
      <c r="P2813" s="27"/>
      <c r="Q2813" s="27"/>
      <c r="R2813" s="27"/>
    </row>
    <row r="2814" spans="1:18">
      <c r="A2814" s="28"/>
      <c r="B2814" s="29"/>
      <c r="C2814" s="29"/>
      <c r="D2814" s="29"/>
      <c r="E2814" s="29"/>
      <c r="H2814" s="27"/>
      <c r="K2814"/>
      <c r="P2814" s="27"/>
      <c r="Q2814" s="27"/>
      <c r="R2814" s="27"/>
    </row>
    <row r="2815" spans="1:18">
      <c r="A2815" s="28"/>
      <c r="B2815" s="29"/>
      <c r="C2815" s="29"/>
      <c r="D2815" s="29"/>
      <c r="E2815" s="29"/>
      <c r="H2815" s="27"/>
      <c r="K2815"/>
      <c r="P2815" s="27"/>
      <c r="Q2815" s="27"/>
      <c r="R2815" s="27"/>
    </row>
    <row r="2816" spans="1:18">
      <c r="A2816" s="28"/>
      <c r="B2816" s="29"/>
      <c r="C2816" s="29"/>
      <c r="D2816" s="29"/>
      <c r="E2816" s="29"/>
      <c r="H2816" s="27"/>
      <c r="K2816"/>
      <c r="P2816" s="27"/>
      <c r="Q2816" s="27"/>
      <c r="R2816" s="27"/>
    </row>
    <row r="2817" spans="1:18">
      <c r="A2817" s="28"/>
      <c r="B2817" s="29"/>
      <c r="C2817" s="29"/>
      <c r="D2817" s="29"/>
      <c r="E2817" s="29"/>
      <c r="H2817" s="27"/>
      <c r="K2817"/>
      <c r="P2817" s="27"/>
      <c r="Q2817" s="27"/>
      <c r="R2817" s="27"/>
    </row>
    <row r="2818" spans="1:18">
      <c r="A2818" s="28"/>
      <c r="B2818" s="29"/>
      <c r="C2818" s="29"/>
      <c r="D2818" s="29"/>
      <c r="E2818" s="29"/>
      <c r="H2818" s="27"/>
      <c r="K2818"/>
      <c r="P2818" s="27"/>
      <c r="Q2818" s="27"/>
      <c r="R2818" s="27"/>
    </row>
    <row r="2819" spans="1:18">
      <c r="A2819" s="28"/>
      <c r="B2819" s="29"/>
      <c r="C2819" s="29"/>
      <c r="D2819" s="29"/>
      <c r="E2819" s="29"/>
      <c r="H2819" s="27"/>
      <c r="K2819"/>
      <c r="P2819" s="27"/>
      <c r="Q2819" s="27"/>
      <c r="R2819" s="27"/>
    </row>
    <row r="2820" spans="1:18">
      <c r="A2820" s="28"/>
      <c r="B2820" s="29"/>
      <c r="C2820" s="29"/>
      <c r="D2820" s="29"/>
      <c r="E2820" s="29"/>
      <c r="H2820" s="27"/>
      <c r="K2820"/>
      <c r="P2820" s="27"/>
      <c r="Q2820" s="27"/>
      <c r="R2820" s="27"/>
    </row>
    <row r="2821" spans="1:18">
      <c r="A2821" s="28"/>
      <c r="B2821" s="29"/>
      <c r="C2821" s="29"/>
      <c r="D2821" s="29"/>
      <c r="E2821" s="29"/>
      <c r="H2821" s="27"/>
      <c r="K2821"/>
      <c r="P2821" s="27"/>
      <c r="Q2821" s="27"/>
      <c r="R2821" s="27"/>
    </row>
    <row r="2822" spans="1:18">
      <c r="A2822" s="28"/>
      <c r="B2822" s="29"/>
      <c r="C2822" s="29"/>
      <c r="D2822" s="29"/>
      <c r="E2822" s="29"/>
      <c r="H2822" s="27"/>
      <c r="K2822"/>
      <c r="P2822" s="27"/>
      <c r="Q2822" s="27"/>
      <c r="R2822" s="27"/>
    </row>
    <row r="2823" spans="1:18">
      <c r="A2823" s="28"/>
      <c r="B2823" s="29"/>
      <c r="C2823" s="29"/>
      <c r="D2823" s="29"/>
      <c r="E2823" s="29"/>
      <c r="H2823" s="27"/>
      <c r="K2823"/>
      <c r="P2823" s="27"/>
      <c r="Q2823" s="27"/>
      <c r="R2823" s="27"/>
    </row>
    <row r="2824" spans="1:18">
      <c r="A2824" s="28"/>
      <c r="B2824" s="29"/>
      <c r="C2824" s="29"/>
      <c r="D2824" s="29"/>
      <c r="E2824" s="29"/>
      <c r="H2824" s="27"/>
      <c r="K2824"/>
      <c r="P2824" s="27"/>
      <c r="Q2824" s="27"/>
      <c r="R2824" s="27"/>
    </row>
    <row r="2825" spans="1:18">
      <c r="A2825" s="28"/>
      <c r="B2825" s="29"/>
      <c r="C2825" s="29"/>
      <c r="D2825" s="29"/>
      <c r="E2825" s="29"/>
      <c r="H2825" s="27"/>
      <c r="K2825"/>
      <c r="P2825" s="27"/>
      <c r="Q2825" s="27"/>
      <c r="R2825" s="27"/>
    </row>
    <row r="2826" spans="1:18">
      <c r="A2826" s="28"/>
      <c r="B2826" s="29"/>
      <c r="C2826" s="29"/>
      <c r="D2826" s="29"/>
      <c r="E2826" s="29"/>
      <c r="H2826" s="27"/>
      <c r="K2826"/>
      <c r="P2826" s="27"/>
      <c r="Q2826" s="27"/>
      <c r="R2826" s="27"/>
    </row>
    <row r="2827" spans="1:18">
      <c r="A2827" s="28"/>
      <c r="B2827" s="29"/>
      <c r="C2827" s="29"/>
      <c r="D2827" s="29"/>
      <c r="E2827" s="29"/>
      <c r="H2827" s="27"/>
      <c r="K2827"/>
      <c r="P2827" s="27"/>
      <c r="Q2827" s="27"/>
      <c r="R2827" s="27"/>
    </row>
    <row r="2828" spans="1:18">
      <c r="A2828" s="28"/>
      <c r="B2828" s="29"/>
      <c r="C2828" s="29"/>
      <c r="D2828" s="29"/>
      <c r="E2828" s="29"/>
      <c r="H2828" s="27"/>
      <c r="K2828"/>
      <c r="P2828" s="27"/>
      <c r="Q2828" s="27"/>
      <c r="R2828" s="27"/>
    </row>
    <row r="2829" spans="1:18">
      <c r="A2829" s="28"/>
      <c r="B2829" s="29"/>
      <c r="C2829" s="29"/>
      <c r="D2829" s="29"/>
      <c r="E2829" s="29"/>
      <c r="H2829" s="27"/>
      <c r="K2829"/>
      <c r="P2829" s="27"/>
      <c r="Q2829" s="27"/>
      <c r="R2829" s="27"/>
    </row>
    <row r="2830" spans="1:18">
      <c r="A2830" s="28"/>
      <c r="B2830" s="29"/>
      <c r="C2830" s="29"/>
      <c r="D2830" s="29"/>
      <c r="E2830" s="29"/>
      <c r="H2830" s="27"/>
      <c r="K2830"/>
      <c r="P2830" s="27"/>
      <c r="Q2830" s="27"/>
      <c r="R2830" s="27"/>
    </row>
    <row r="2831" spans="1:18">
      <c r="A2831" s="28"/>
      <c r="B2831" s="29"/>
      <c r="C2831" s="29"/>
      <c r="D2831" s="29"/>
      <c r="E2831" s="29"/>
      <c r="H2831" s="27"/>
      <c r="K2831"/>
      <c r="P2831" s="27"/>
      <c r="Q2831" s="27"/>
      <c r="R2831" s="27"/>
    </row>
    <row r="2832" spans="1:18">
      <c r="A2832" s="28"/>
      <c r="B2832" s="29"/>
      <c r="C2832" s="29"/>
      <c r="D2832" s="29"/>
      <c r="E2832" s="29"/>
      <c r="H2832" s="27"/>
      <c r="K2832"/>
      <c r="P2832" s="27"/>
      <c r="Q2832" s="27"/>
      <c r="R2832" s="27"/>
    </row>
    <row r="2833" spans="1:18">
      <c r="A2833" s="28"/>
      <c r="B2833" s="29"/>
      <c r="C2833" s="29"/>
      <c r="D2833" s="29"/>
      <c r="E2833" s="29"/>
      <c r="H2833" s="27"/>
      <c r="K2833"/>
      <c r="P2833" s="27"/>
      <c r="Q2833" s="27"/>
      <c r="R2833" s="27"/>
    </row>
    <row r="2834" spans="1:18">
      <c r="A2834" s="28"/>
      <c r="B2834" s="29"/>
      <c r="C2834" s="29"/>
      <c r="D2834" s="29"/>
      <c r="E2834" s="29"/>
      <c r="H2834" s="27"/>
      <c r="K2834"/>
      <c r="P2834" s="27"/>
      <c r="Q2834" s="27"/>
      <c r="R2834" s="27"/>
    </row>
    <row r="2835" spans="1:18">
      <c r="A2835" s="28"/>
      <c r="B2835" s="29"/>
      <c r="C2835" s="29"/>
      <c r="D2835" s="29"/>
      <c r="E2835" s="29"/>
      <c r="H2835" s="27"/>
      <c r="K2835"/>
      <c r="P2835" s="27"/>
      <c r="Q2835" s="27"/>
      <c r="R2835" s="27"/>
    </row>
    <row r="2836" spans="1:18">
      <c r="A2836" s="28"/>
      <c r="B2836" s="29"/>
      <c r="C2836" s="29"/>
      <c r="D2836" s="29"/>
      <c r="E2836" s="29"/>
      <c r="H2836" s="27"/>
      <c r="K2836"/>
      <c r="P2836" s="27"/>
      <c r="Q2836" s="27"/>
      <c r="R2836" s="27"/>
    </row>
    <row r="2837" spans="1:18">
      <c r="A2837" s="28"/>
      <c r="B2837" s="29"/>
      <c r="C2837" s="29"/>
      <c r="D2837" s="29"/>
      <c r="E2837" s="29"/>
      <c r="H2837" s="27"/>
      <c r="K2837"/>
      <c r="P2837" s="27"/>
      <c r="Q2837" s="27"/>
      <c r="R2837" s="27"/>
    </row>
    <row r="2838" spans="1:18">
      <c r="A2838" s="28"/>
      <c r="B2838" s="29"/>
      <c r="C2838" s="29"/>
      <c r="D2838" s="29"/>
      <c r="E2838" s="29"/>
      <c r="H2838" s="27"/>
      <c r="K2838"/>
      <c r="P2838" s="27"/>
      <c r="Q2838" s="27"/>
      <c r="R2838" s="27"/>
    </row>
    <row r="2839" spans="1:18">
      <c r="A2839" s="28"/>
      <c r="B2839" s="29"/>
      <c r="C2839" s="29"/>
      <c r="D2839" s="29"/>
      <c r="E2839" s="29"/>
      <c r="H2839" s="27"/>
      <c r="K2839"/>
      <c r="P2839" s="27"/>
      <c r="Q2839" s="27"/>
      <c r="R2839" s="27"/>
    </row>
    <row r="2840" spans="1:18">
      <c r="A2840" s="28"/>
      <c r="B2840" s="29"/>
      <c r="C2840" s="29"/>
      <c r="D2840" s="29"/>
      <c r="E2840" s="29"/>
      <c r="H2840" s="27"/>
      <c r="K2840"/>
      <c r="P2840" s="27"/>
      <c r="Q2840" s="27"/>
      <c r="R2840" s="27"/>
    </row>
    <row r="2841" spans="1:18">
      <c r="A2841" s="28"/>
      <c r="B2841" s="29"/>
      <c r="C2841" s="29"/>
      <c r="D2841" s="29"/>
      <c r="E2841" s="29"/>
      <c r="H2841" s="27"/>
      <c r="K2841"/>
      <c r="P2841" s="27"/>
      <c r="Q2841" s="27"/>
      <c r="R2841" s="27"/>
    </row>
    <row r="2842" spans="1:18">
      <c r="A2842" s="28"/>
      <c r="B2842" s="29"/>
      <c r="C2842" s="29"/>
      <c r="D2842" s="29"/>
      <c r="E2842" s="29"/>
      <c r="H2842" s="27"/>
      <c r="K2842"/>
      <c r="P2842" s="27"/>
      <c r="Q2842" s="27"/>
      <c r="R2842" s="27"/>
    </row>
    <row r="2843" spans="1:18">
      <c r="A2843" s="28"/>
      <c r="B2843" s="29"/>
      <c r="C2843" s="29"/>
      <c r="D2843" s="29"/>
      <c r="E2843" s="29"/>
      <c r="H2843" s="27"/>
      <c r="K2843"/>
      <c r="P2843" s="27"/>
      <c r="Q2843" s="27"/>
      <c r="R2843" s="27"/>
    </row>
    <row r="2844" spans="1:18">
      <c r="A2844" s="28"/>
      <c r="B2844" s="29"/>
      <c r="C2844" s="29"/>
      <c r="D2844" s="29"/>
      <c r="E2844" s="29"/>
      <c r="H2844" s="27"/>
      <c r="K2844"/>
      <c r="P2844" s="27"/>
      <c r="Q2844" s="27"/>
      <c r="R2844" s="27"/>
    </row>
    <row r="2845" spans="1:18">
      <c r="A2845" s="28"/>
      <c r="B2845" s="29"/>
      <c r="C2845" s="29"/>
      <c r="D2845" s="29"/>
      <c r="E2845" s="29"/>
      <c r="H2845" s="27"/>
      <c r="K2845"/>
      <c r="P2845" s="27"/>
      <c r="Q2845" s="27"/>
      <c r="R2845" s="27"/>
    </row>
    <row r="2846" spans="1:18">
      <c r="A2846" s="28"/>
      <c r="B2846" s="29"/>
      <c r="C2846" s="29"/>
      <c r="D2846" s="29"/>
      <c r="E2846" s="29"/>
      <c r="H2846" s="27"/>
      <c r="K2846"/>
      <c r="P2846" s="27"/>
      <c r="Q2846" s="27"/>
      <c r="R2846" s="27"/>
    </row>
    <row r="2847" spans="1:18">
      <c r="A2847" s="28"/>
      <c r="B2847" s="29"/>
      <c r="C2847" s="29"/>
      <c r="D2847" s="29"/>
      <c r="E2847" s="29"/>
      <c r="H2847" s="27"/>
      <c r="K2847"/>
      <c r="P2847" s="27"/>
      <c r="Q2847" s="27"/>
      <c r="R2847" s="27"/>
    </row>
    <row r="2848" spans="1:18">
      <c r="A2848" s="28"/>
      <c r="B2848" s="29"/>
      <c r="C2848" s="29"/>
      <c r="D2848" s="29"/>
      <c r="E2848" s="29"/>
      <c r="H2848" s="27"/>
      <c r="K2848"/>
      <c r="P2848" s="27"/>
      <c r="Q2848" s="27"/>
      <c r="R2848" s="27"/>
    </row>
    <row r="2849" spans="1:18">
      <c r="A2849" s="28"/>
      <c r="B2849" s="29"/>
      <c r="C2849" s="29"/>
      <c r="D2849" s="29"/>
      <c r="E2849" s="29"/>
      <c r="H2849" s="27"/>
      <c r="K2849"/>
      <c r="P2849" s="27"/>
      <c r="Q2849" s="27"/>
      <c r="R2849" s="27"/>
    </row>
    <row r="2850" spans="1:18">
      <c r="A2850" s="28"/>
      <c r="B2850" s="29"/>
      <c r="C2850" s="29"/>
      <c r="D2850" s="29"/>
      <c r="E2850" s="29"/>
      <c r="H2850" s="27"/>
      <c r="K2850"/>
      <c r="P2850" s="27"/>
      <c r="Q2850" s="27"/>
      <c r="R2850" s="27"/>
    </row>
    <row r="2851" spans="1:18">
      <c r="A2851" s="28"/>
      <c r="B2851" s="29"/>
      <c r="C2851" s="29"/>
      <c r="D2851" s="29"/>
      <c r="E2851" s="29"/>
      <c r="H2851" s="27"/>
      <c r="K2851"/>
      <c r="P2851" s="27"/>
      <c r="Q2851" s="27"/>
      <c r="R2851" s="27"/>
    </row>
    <row r="2852" spans="1:18">
      <c r="A2852" s="28"/>
      <c r="B2852" s="29"/>
      <c r="C2852" s="29"/>
      <c r="D2852" s="29"/>
      <c r="E2852" s="29"/>
      <c r="H2852" s="27"/>
      <c r="K2852"/>
      <c r="P2852" s="27"/>
      <c r="Q2852" s="27"/>
      <c r="R2852" s="27"/>
    </row>
    <row r="2853" spans="1:18">
      <c r="A2853" s="28"/>
      <c r="B2853" s="29"/>
      <c r="C2853" s="29"/>
      <c r="D2853" s="29"/>
      <c r="E2853" s="29"/>
      <c r="H2853" s="27"/>
      <c r="K2853"/>
      <c r="P2853" s="27"/>
      <c r="Q2853" s="27"/>
      <c r="R2853" s="27"/>
    </row>
    <row r="2854" spans="1:18">
      <c r="A2854" s="28"/>
      <c r="B2854" s="29"/>
      <c r="C2854" s="29"/>
      <c r="D2854" s="29"/>
      <c r="E2854" s="29"/>
      <c r="H2854" s="27"/>
      <c r="K2854"/>
      <c r="P2854" s="27"/>
      <c r="Q2854" s="27"/>
      <c r="R2854" s="27"/>
    </row>
    <row r="2855" spans="1:18">
      <c r="A2855" s="28"/>
      <c r="B2855" s="29"/>
      <c r="C2855" s="29"/>
      <c r="D2855" s="29"/>
      <c r="E2855" s="29"/>
      <c r="H2855" s="27"/>
      <c r="K2855"/>
      <c r="P2855" s="27"/>
      <c r="Q2855" s="27"/>
      <c r="R2855" s="27"/>
    </row>
    <row r="2856" spans="1:18">
      <c r="A2856" s="28"/>
      <c r="B2856" s="29"/>
      <c r="C2856" s="29"/>
      <c r="D2856" s="29"/>
      <c r="E2856" s="29"/>
      <c r="H2856" s="27"/>
      <c r="K2856"/>
      <c r="P2856" s="27"/>
      <c r="Q2856" s="27"/>
      <c r="R2856" s="27"/>
    </row>
    <row r="2857" spans="1:18">
      <c r="A2857" s="28"/>
      <c r="B2857" s="29"/>
      <c r="C2857" s="29"/>
      <c r="D2857" s="29"/>
      <c r="E2857" s="29"/>
      <c r="H2857" s="27"/>
      <c r="K2857"/>
      <c r="P2857" s="27"/>
      <c r="Q2857" s="27"/>
      <c r="R2857" s="27"/>
    </row>
    <row r="2858" spans="1:18">
      <c r="A2858" s="28"/>
      <c r="B2858" s="29"/>
      <c r="C2858" s="29"/>
      <c r="D2858" s="29"/>
      <c r="E2858" s="29"/>
      <c r="H2858" s="27"/>
      <c r="K2858"/>
      <c r="P2858" s="27"/>
      <c r="Q2858" s="27"/>
      <c r="R2858" s="27"/>
    </row>
    <row r="2859" spans="1:18">
      <c r="A2859" s="28"/>
      <c r="B2859" s="29"/>
      <c r="C2859" s="29"/>
      <c r="D2859" s="29"/>
      <c r="E2859" s="29"/>
      <c r="H2859" s="27"/>
      <c r="K2859"/>
      <c r="P2859" s="27"/>
      <c r="Q2859" s="27"/>
      <c r="R2859" s="27"/>
    </row>
    <row r="2860" spans="1:18">
      <c r="A2860" s="28"/>
      <c r="B2860" s="29"/>
      <c r="C2860" s="29"/>
      <c r="D2860" s="29"/>
      <c r="E2860" s="29"/>
      <c r="H2860" s="27"/>
      <c r="K2860"/>
      <c r="P2860" s="27"/>
      <c r="Q2860" s="27"/>
      <c r="R2860" s="27"/>
    </row>
    <row r="2861" spans="1:18">
      <c r="A2861" s="28"/>
      <c r="B2861" s="29"/>
      <c r="C2861" s="29"/>
      <c r="D2861" s="29"/>
      <c r="E2861" s="29"/>
      <c r="H2861" s="27"/>
      <c r="K2861"/>
      <c r="P2861" s="27"/>
      <c r="Q2861" s="27"/>
      <c r="R2861" s="27"/>
    </row>
    <row r="2862" spans="1:18">
      <c r="A2862" s="28"/>
      <c r="B2862" s="29"/>
      <c r="C2862" s="29"/>
      <c r="D2862" s="29"/>
      <c r="E2862" s="29"/>
      <c r="H2862" s="27"/>
      <c r="K2862"/>
      <c r="P2862" s="27"/>
      <c r="Q2862" s="27"/>
      <c r="R2862" s="27"/>
    </row>
    <row r="2863" spans="1:18">
      <c r="A2863" s="28"/>
      <c r="B2863" s="29"/>
      <c r="C2863" s="29"/>
      <c r="D2863" s="29"/>
      <c r="E2863" s="29"/>
      <c r="H2863" s="27"/>
      <c r="K2863"/>
      <c r="P2863" s="27"/>
      <c r="Q2863" s="27"/>
      <c r="R2863" s="27"/>
    </row>
    <row r="2864" spans="1:18">
      <c r="A2864" s="28"/>
      <c r="B2864" s="29"/>
      <c r="C2864" s="29"/>
      <c r="D2864" s="29"/>
      <c r="E2864" s="29"/>
      <c r="H2864" s="27"/>
      <c r="K2864"/>
      <c r="P2864" s="27"/>
      <c r="Q2864" s="27"/>
      <c r="R2864" s="27"/>
    </row>
    <row r="2865" spans="1:18">
      <c r="A2865" s="28"/>
      <c r="B2865" s="29"/>
      <c r="C2865" s="29"/>
      <c r="D2865" s="29"/>
      <c r="E2865" s="29"/>
      <c r="H2865" s="27"/>
      <c r="K2865"/>
      <c r="P2865" s="27"/>
      <c r="Q2865" s="27"/>
      <c r="R2865" s="27"/>
    </row>
    <row r="2866" spans="1:18">
      <c r="A2866" s="28"/>
      <c r="B2866" s="29"/>
      <c r="C2866" s="29"/>
      <c r="D2866" s="29"/>
      <c r="E2866" s="29"/>
      <c r="H2866" s="27"/>
      <c r="K2866"/>
      <c r="P2866" s="27"/>
      <c r="Q2866" s="27"/>
      <c r="R2866" s="27"/>
    </row>
    <row r="2867" spans="1:18">
      <c r="A2867" s="28"/>
      <c r="B2867" s="29"/>
      <c r="C2867" s="29"/>
      <c r="D2867" s="29"/>
      <c r="E2867" s="29"/>
      <c r="H2867" s="27"/>
      <c r="K2867"/>
      <c r="P2867" s="27"/>
      <c r="Q2867" s="27"/>
      <c r="R2867" s="27"/>
    </row>
    <row r="2868" spans="1:18">
      <c r="A2868" s="28"/>
      <c r="B2868" s="29"/>
      <c r="C2868" s="29"/>
      <c r="D2868" s="29"/>
      <c r="E2868" s="29"/>
      <c r="H2868" s="27"/>
      <c r="K2868"/>
      <c r="P2868" s="27"/>
      <c r="Q2868" s="27"/>
      <c r="R2868" s="27"/>
    </row>
    <row r="2869" spans="1:18">
      <c r="A2869" s="28"/>
      <c r="B2869" s="29"/>
      <c r="C2869" s="29"/>
      <c r="D2869" s="29"/>
      <c r="E2869" s="29"/>
      <c r="H2869" s="27"/>
      <c r="K2869"/>
      <c r="P2869" s="27"/>
      <c r="Q2869" s="27"/>
      <c r="R2869" s="27"/>
    </row>
    <row r="2870" spans="1:18">
      <c r="A2870" s="28"/>
      <c r="B2870" s="29"/>
      <c r="C2870" s="29"/>
      <c r="D2870" s="29"/>
      <c r="E2870" s="29"/>
      <c r="H2870" s="27"/>
      <c r="K2870"/>
      <c r="P2870" s="27"/>
      <c r="Q2870" s="27"/>
      <c r="R2870" s="27"/>
    </row>
    <row r="2871" spans="1:18">
      <c r="A2871" s="28"/>
      <c r="B2871" s="29"/>
      <c r="C2871" s="29"/>
      <c r="D2871" s="29"/>
      <c r="E2871" s="29"/>
      <c r="H2871" s="27"/>
      <c r="K2871"/>
      <c r="P2871" s="27"/>
      <c r="Q2871" s="27"/>
      <c r="R2871" s="27"/>
    </row>
    <row r="2872" spans="1:18">
      <c r="A2872" s="28"/>
      <c r="B2872" s="29"/>
      <c r="C2872" s="29"/>
      <c r="D2872" s="29"/>
      <c r="E2872" s="29"/>
      <c r="H2872" s="27"/>
      <c r="K2872"/>
      <c r="P2872" s="27"/>
      <c r="Q2872" s="27"/>
      <c r="R2872" s="27"/>
    </row>
    <row r="2873" spans="1:18">
      <c r="A2873" s="28"/>
      <c r="B2873" s="29"/>
      <c r="C2873" s="29"/>
      <c r="D2873" s="29"/>
      <c r="E2873" s="29"/>
      <c r="H2873" s="27"/>
      <c r="K2873"/>
      <c r="P2873" s="27"/>
      <c r="Q2873" s="27"/>
      <c r="R2873" s="27"/>
    </row>
    <row r="2874" spans="1:18">
      <c r="A2874" s="28"/>
      <c r="B2874" s="29"/>
      <c r="C2874" s="29"/>
      <c r="D2874" s="29"/>
      <c r="E2874" s="29"/>
      <c r="H2874" s="27"/>
      <c r="K2874"/>
      <c r="P2874" s="27"/>
      <c r="Q2874" s="27"/>
      <c r="R2874" s="27"/>
    </row>
    <row r="2875" spans="1:18">
      <c r="A2875" s="28"/>
      <c r="B2875" s="29"/>
      <c r="C2875" s="29"/>
      <c r="D2875" s="29"/>
      <c r="E2875" s="29"/>
      <c r="H2875" s="27"/>
      <c r="K2875"/>
      <c r="P2875" s="27"/>
      <c r="Q2875" s="27"/>
      <c r="R2875" s="27"/>
    </row>
    <row r="2876" spans="1:18">
      <c r="A2876" s="28"/>
      <c r="B2876" s="29"/>
      <c r="C2876" s="29"/>
      <c r="D2876" s="29"/>
      <c r="E2876" s="29"/>
      <c r="H2876" s="27"/>
      <c r="K2876"/>
      <c r="P2876" s="27"/>
      <c r="Q2876" s="27"/>
      <c r="R2876" s="27"/>
    </row>
    <row r="2877" spans="1:18">
      <c r="A2877" s="28"/>
      <c r="B2877" s="29"/>
      <c r="C2877" s="29"/>
      <c r="D2877" s="29"/>
      <c r="E2877" s="29"/>
      <c r="H2877" s="27"/>
      <c r="K2877"/>
      <c r="P2877" s="27"/>
      <c r="Q2877" s="27"/>
      <c r="R2877" s="27"/>
    </row>
    <row r="2878" spans="1:18">
      <c r="A2878" s="28"/>
      <c r="B2878" s="29"/>
      <c r="C2878" s="29"/>
      <c r="D2878" s="29"/>
      <c r="E2878" s="29"/>
      <c r="H2878" s="27"/>
      <c r="K2878"/>
      <c r="P2878" s="27"/>
      <c r="Q2878" s="27"/>
      <c r="R2878" s="27"/>
    </row>
    <row r="2879" spans="1:18">
      <c r="A2879" s="28"/>
      <c r="B2879" s="29"/>
      <c r="C2879" s="29"/>
      <c r="D2879" s="29"/>
      <c r="E2879" s="29"/>
      <c r="H2879" s="27"/>
      <c r="K2879"/>
      <c r="P2879" s="27"/>
      <c r="Q2879" s="27"/>
      <c r="R2879" s="27"/>
    </row>
    <row r="2880" spans="1:18">
      <c r="A2880" s="28"/>
      <c r="B2880" s="29"/>
      <c r="C2880" s="29"/>
      <c r="D2880" s="29"/>
      <c r="E2880" s="29"/>
      <c r="H2880" s="27"/>
      <c r="K2880"/>
      <c r="P2880" s="27"/>
      <c r="Q2880" s="27"/>
      <c r="R2880" s="27"/>
    </row>
    <row r="2881" spans="1:18">
      <c r="A2881" s="28"/>
      <c r="B2881" s="29"/>
      <c r="C2881" s="29"/>
      <c r="D2881" s="29"/>
      <c r="E2881" s="29"/>
      <c r="H2881" s="27"/>
      <c r="K2881"/>
      <c r="P2881" s="27"/>
      <c r="Q2881" s="27"/>
      <c r="R2881" s="27"/>
    </row>
    <row r="2882" spans="1:18">
      <c r="A2882" s="28"/>
      <c r="B2882" s="29"/>
      <c r="C2882" s="29"/>
      <c r="D2882" s="29"/>
      <c r="E2882" s="29"/>
      <c r="H2882" s="27"/>
      <c r="K2882"/>
      <c r="P2882" s="27"/>
      <c r="Q2882" s="27"/>
      <c r="R2882" s="27"/>
    </row>
    <row r="2883" spans="1:18">
      <c r="A2883" s="28"/>
      <c r="B2883" s="29"/>
      <c r="C2883" s="29"/>
      <c r="D2883" s="29"/>
      <c r="E2883" s="29"/>
      <c r="H2883" s="27"/>
      <c r="K2883"/>
      <c r="P2883" s="27"/>
      <c r="Q2883" s="27"/>
      <c r="R2883" s="27"/>
    </row>
    <row r="2884" spans="1:18">
      <c r="A2884" s="28"/>
      <c r="B2884" s="29"/>
      <c r="C2884" s="29"/>
      <c r="D2884" s="29"/>
      <c r="E2884" s="29"/>
      <c r="H2884" s="27"/>
      <c r="K2884"/>
      <c r="P2884" s="27"/>
      <c r="Q2884" s="27"/>
      <c r="R2884" s="27"/>
    </row>
    <row r="2885" spans="1:18">
      <c r="A2885" s="28"/>
      <c r="B2885" s="29"/>
      <c r="C2885" s="29"/>
      <c r="D2885" s="29"/>
      <c r="E2885" s="29"/>
      <c r="H2885" s="27"/>
      <c r="K2885"/>
      <c r="P2885" s="27"/>
      <c r="Q2885" s="27"/>
      <c r="R2885" s="27"/>
    </row>
    <row r="2886" spans="1:18">
      <c r="A2886" s="28"/>
      <c r="B2886" s="29"/>
      <c r="C2886" s="29"/>
      <c r="D2886" s="29"/>
      <c r="E2886" s="29"/>
      <c r="H2886" s="27"/>
      <c r="K2886"/>
      <c r="P2886" s="27"/>
      <c r="Q2886" s="27"/>
      <c r="R2886" s="27"/>
    </row>
    <row r="2887" spans="1:18">
      <c r="A2887" s="28"/>
      <c r="B2887" s="29"/>
      <c r="C2887" s="29"/>
      <c r="D2887" s="29"/>
      <c r="E2887" s="29"/>
      <c r="H2887" s="27"/>
      <c r="K2887"/>
      <c r="P2887" s="27"/>
      <c r="Q2887" s="27"/>
      <c r="R2887" s="27"/>
    </row>
    <row r="2888" spans="1:18">
      <c r="A2888" s="28"/>
      <c r="B2888" s="29"/>
      <c r="C2888" s="29"/>
      <c r="D2888" s="29"/>
      <c r="E2888" s="29"/>
      <c r="H2888" s="27"/>
      <c r="K2888"/>
      <c r="P2888" s="27"/>
      <c r="Q2888" s="27"/>
      <c r="R2888" s="27"/>
    </row>
    <row r="2889" spans="1:18">
      <c r="A2889" s="28"/>
      <c r="B2889" s="29"/>
      <c r="C2889" s="29"/>
      <c r="D2889" s="29"/>
      <c r="E2889" s="29"/>
      <c r="H2889" s="27"/>
      <c r="K2889"/>
      <c r="P2889" s="27"/>
      <c r="Q2889" s="27"/>
      <c r="R2889" s="27"/>
    </row>
    <row r="2890" spans="1:18">
      <c r="A2890" s="28"/>
      <c r="B2890" s="29"/>
      <c r="C2890" s="29"/>
      <c r="D2890" s="29"/>
      <c r="E2890" s="29"/>
      <c r="H2890" s="27"/>
      <c r="K2890"/>
      <c r="P2890" s="27"/>
      <c r="Q2890" s="27"/>
      <c r="R2890" s="27"/>
    </row>
    <row r="2891" spans="1:18">
      <c r="A2891" s="28"/>
      <c r="B2891" s="29"/>
      <c r="C2891" s="29"/>
      <c r="D2891" s="29"/>
      <c r="E2891" s="29"/>
      <c r="H2891" s="27"/>
      <c r="K2891"/>
      <c r="P2891" s="27"/>
      <c r="Q2891" s="27"/>
      <c r="R2891" s="27"/>
    </row>
    <row r="2892" spans="1:18">
      <c r="A2892" s="28"/>
      <c r="B2892" s="29"/>
      <c r="C2892" s="29"/>
      <c r="D2892" s="29"/>
      <c r="E2892" s="29"/>
      <c r="H2892" s="27"/>
      <c r="K2892"/>
      <c r="P2892" s="27"/>
      <c r="Q2892" s="27"/>
      <c r="R2892" s="27"/>
    </row>
    <row r="2893" spans="1:18">
      <c r="A2893" s="28"/>
      <c r="B2893" s="29"/>
      <c r="C2893" s="29"/>
      <c r="D2893" s="29"/>
      <c r="E2893" s="29"/>
      <c r="H2893" s="27"/>
      <c r="K2893"/>
      <c r="P2893" s="27"/>
      <c r="Q2893" s="27"/>
      <c r="R2893" s="27"/>
    </row>
    <row r="2894" spans="1:18">
      <c r="A2894" s="28"/>
      <c r="B2894" s="29"/>
      <c r="C2894" s="29"/>
      <c r="D2894" s="29"/>
      <c r="E2894" s="29"/>
      <c r="H2894" s="27"/>
      <c r="K2894"/>
      <c r="P2894" s="27"/>
      <c r="Q2894" s="27"/>
      <c r="R2894" s="27"/>
    </row>
    <row r="2895" spans="1:18">
      <c r="A2895" s="28"/>
      <c r="B2895" s="29"/>
      <c r="C2895" s="29"/>
      <c r="D2895" s="29"/>
      <c r="E2895" s="29"/>
      <c r="H2895" s="27"/>
      <c r="K2895"/>
      <c r="P2895" s="27"/>
      <c r="Q2895" s="27"/>
      <c r="R2895" s="27"/>
    </row>
    <row r="2896" spans="1:18">
      <c r="A2896" s="28"/>
      <c r="B2896" s="29"/>
      <c r="C2896" s="29"/>
      <c r="D2896" s="29"/>
      <c r="E2896" s="29"/>
      <c r="H2896" s="27"/>
      <c r="K2896"/>
      <c r="P2896" s="27"/>
      <c r="Q2896" s="27"/>
      <c r="R2896" s="27"/>
    </row>
    <row r="2897" spans="1:18">
      <c r="A2897" s="28"/>
      <c r="B2897" s="29"/>
      <c r="C2897" s="29"/>
      <c r="D2897" s="29"/>
      <c r="E2897" s="29"/>
      <c r="H2897" s="27"/>
      <c r="K2897"/>
      <c r="P2897" s="27"/>
      <c r="Q2897" s="27"/>
      <c r="R2897" s="27"/>
    </row>
    <row r="2898" spans="1:18">
      <c r="A2898" s="28"/>
      <c r="B2898" s="29"/>
      <c r="C2898" s="29"/>
      <c r="D2898" s="29"/>
      <c r="E2898" s="29"/>
      <c r="H2898" s="27"/>
      <c r="K2898"/>
      <c r="P2898" s="27"/>
      <c r="Q2898" s="27"/>
      <c r="R2898" s="27"/>
    </row>
    <row r="2899" spans="1:18">
      <c r="A2899" s="28"/>
      <c r="B2899" s="29"/>
      <c r="C2899" s="29"/>
      <c r="D2899" s="29"/>
      <c r="E2899" s="29"/>
      <c r="H2899" s="27"/>
      <c r="K2899"/>
      <c r="P2899" s="27"/>
      <c r="Q2899" s="27"/>
      <c r="R2899" s="27"/>
    </row>
    <row r="2900" spans="1:18">
      <c r="A2900" s="28"/>
      <c r="B2900" s="29"/>
      <c r="C2900" s="29"/>
      <c r="D2900" s="29"/>
      <c r="E2900" s="29"/>
      <c r="H2900" s="27"/>
      <c r="K2900"/>
      <c r="P2900" s="27"/>
      <c r="Q2900" s="27"/>
      <c r="R2900" s="27"/>
    </row>
    <row r="2901" spans="1:18">
      <c r="A2901" s="28"/>
      <c r="B2901" s="29"/>
      <c r="C2901" s="29"/>
      <c r="D2901" s="29"/>
      <c r="E2901" s="29"/>
      <c r="H2901" s="27"/>
      <c r="K2901"/>
      <c r="P2901" s="27"/>
      <c r="Q2901" s="27"/>
      <c r="R2901" s="27"/>
    </row>
    <row r="2902" spans="1:18">
      <c r="A2902" s="28"/>
      <c r="B2902" s="29"/>
      <c r="C2902" s="29"/>
      <c r="D2902" s="29"/>
      <c r="E2902" s="29"/>
      <c r="H2902" s="27"/>
      <c r="K2902"/>
      <c r="P2902" s="27"/>
      <c r="Q2902" s="27"/>
      <c r="R2902" s="27"/>
    </row>
    <row r="2903" spans="1:18">
      <c r="A2903" s="28"/>
      <c r="B2903" s="29"/>
      <c r="C2903" s="29"/>
      <c r="D2903" s="29"/>
      <c r="E2903" s="29"/>
      <c r="H2903" s="27"/>
      <c r="K2903"/>
      <c r="P2903" s="27"/>
      <c r="Q2903" s="27"/>
      <c r="R2903" s="27"/>
    </row>
    <row r="2904" spans="1:18">
      <c r="A2904" s="28"/>
      <c r="B2904" s="29"/>
      <c r="C2904" s="29"/>
      <c r="D2904" s="29"/>
      <c r="E2904" s="29"/>
      <c r="H2904" s="27"/>
      <c r="K2904"/>
      <c r="P2904" s="27"/>
      <c r="Q2904" s="27"/>
      <c r="R2904" s="27"/>
    </row>
    <row r="2905" spans="1:18">
      <c r="A2905" s="28"/>
      <c r="B2905" s="29"/>
      <c r="C2905" s="29"/>
      <c r="D2905" s="29"/>
      <c r="E2905" s="29"/>
      <c r="H2905" s="27"/>
      <c r="K2905"/>
      <c r="P2905" s="27"/>
      <c r="Q2905" s="27"/>
      <c r="R2905" s="27"/>
    </row>
    <row r="2906" spans="1:18">
      <c r="A2906" s="28"/>
      <c r="B2906" s="29"/>
      <c r="C2906" s="29"/>
      <c r="D2906" s="29"/>
      <c r="E2906" s="29"/>
      <c r="H2906" s="27"/>
      <c r="K2906"/>
      <c r="P2906" s="27"/>
      <c r="Q2906" s="27"/>
      <c r="R2906" s="27"/>
    </row>
    <row r="2907" spans="1:18">
      <c r="A2907" s="28"/>
      <c r="B2907" s="29"/>
      <c r="C2907" s="29"/>
      <c r="D2907" s="29"/>
      <c r="E2907" s="29"/>
      <c r="H2907" s="27"/>
      <c r="K2907"/>
      <c r="P2907" s="27"/>
      <c r="Q2907" s="27"/>
      <c r="R2907" s="27"/>
    </row>
    <row r="2908" spans="1:18">
      <c r="A2908" s="28"/>
      <c r="B2908" s="29"/>
      <c r="C2908" s="29"/>
      <c r="D2908" s="29"/>
      <c r="E2908" s="29"/>
      <c r="H2908" s="27"/>
      <c r="K2908"/>
      <c r="P2908" s="27"/>
      <c r="Q2908" s="27"/>
      <c r="R2908" s="27"/>
    </row>
    <row r="2909" spans="1:18">
      <c r="A2909" s="28"/>
      <c r="B2909" s="29"/>
      <c r="C2909" s="29"/>
      <c r="D2909" s="29"/>
      <c r="E2909" s="29"/>
      <c r="H2909" s="27"/>
      <c r="K2909"/>
      <c r="P2909" s="27"/>
      <c r="Q2909" s="27"/>
      <c r="R2909" s="27"/>
    </row>
    <row r="2910" spans="1:18">
      <c r="A2910" s="28"/>
      <c r="B2910" s="29"/>
      <c r="C2910" s="29"/>
      <c r="D2910" s="29"/>
      <c r="E2910" s="29"/>
      <c r="H2910" s="27"/>
      <c r="K2910"/>
      <c r="P2910" s="27"/>
      <c r="Q2910" s="27"/>
      <c r="R2910" s="27"/>
    </row>
    <row r="2911" spans="1:18">
      <c r="A2911" s="28"/>
      <c r="B2911" s="29"/>
      <c r="C2911" s="29"/>
      <c r="D2911" s="29"/>
      <c r="E2911" s="29"/>
      <c r="H2911" s="27"/>
      <c r="K2911"/>
      <c r="P2911" s="27"/>
      <c r="Q2911" s="27"/>
      <c r="R2911" s="27"/>
    </row>
    <row r="2912" spans="1:18">
      <c r="A2912" s="28"/>
      <c r="B2912" s="29"/>
      <c r="C2912" s="29"/>
      <c r="D2912" s="29"/>
      <c r="E2912" s="29"/>
      <c r="H2912" s="27"/>
      <c r="K2912"/>
      <c r="P2912" s="27"/>
      <c r="Q2912" s="27"/>
      <c r="R2912" s="27"/>
    </row>
    <row r="2913" spans="1:18">
      <c r="A2913" s="28"/>
      <c r="B2913" s="29"/>
      <c r="C2913" s="29"/>
      <c r="D2913" s="29"/>
      <c r="E2913" s="29"/>
      <c r="H2913" s="27"/>
      <c r="K2913"/>
      <c r="P2913" s="27"/>
      <c r="Q2913" s="27"/>
      <c r="R2913" s="27"/>
    </row>
    <row r="2914" spans="1:18">
      <c r="A2914" s="28"/>
      <c r="B2914" s="29"/>
      <c r="C2914" s="29"/>
      <c r="D2914" s="29"/>
      <c r="E2914" s="29"/>
      <c r="H2914" s="27"/>
      <c r="K2914"/>
      <c r="P2914" s="27"/>
      <c r="Q2914" s="27"/>
      <c r="R2914" s="27"/>
    </row>
    <row r="2915" spans="1:18">
      <c r="A2915" s="28"/>
      <c r="B2915" s="29"/>
      <c r="C2915" s="29"/>
      <c r="D2915" s="29"/>
      <c r="E2915" s="29"/>
      <c r="H2915" s="27"/>
      <c r="K2915"/>
      <c r="P2915" s="27"/>
      <c r="Q2915" s="27"/>
      <c r="R2915" s="27"/>
    </row>
    <row r="2916" spans="1:18">
      <c r="A2916" s="28"/>
      <c r="B2916" s="29"/>
      <c r="C2916" s="29"/>
      <c r="D2916" s="29"/>
      <c r="E2916" s="29"/>
      <c r="H2916" s="27"/>
      <c r="K2916"/>
      <c r="P2916" s="27"/>
      <c r="Q2916" s="27"/>
      <c r="R2916" s="27"/>
    </row>
    <row r="2917" spans="1:18">
      <c r="A2917" s="28"/>
      <c r="B2917" s="29"/>
      <c r="C2917" s="29"/>
      <c r="D2917" s="29"/>
      <c r="E2917" s="29"/>
      <c r="H2917" s="27"/>
      <c r="K2917"/>
      <c r="P2917" s="27"/>
      <c r="Q2917" s="27"/>
      <c r="R2917" s="27"/>
    </row>
    <row r="2918" spans="1:18">
      <c r="A2918" s="28"/>
      <c r="B2918" s="29"/>
      <c r="C2918" s="29"/>
      <c r="D2918" s="29"/>
      <c r="E2918" s="29"/>
      <c r="H2918" s="27"/>
      <c r="K2918"/>
      <c r="P2918" s="27"/>
      <c r="Q2918" s="27"/>
      <c r="R2918" s="27"/>
    </row>
    <row r="2919" spans="1:18">
      <c r="A2919" s="28"/>
      <c r="B2919" s="29"/>
      <c r="C2919" s="29"/>
      <c r="D2919" s="29"/>
      <c r="E2919" s="29"/>
      <c r="H2919" s="27"/>
      <c r="K2919"/>
      <c r="P2919" s="27"/>
      <c r="Q2919" s="27"/>
      <c r="R2919" s="27"/>
    </row>
    <row r="2920" spans="1:18">
      <c r="A2920" s="28"/>
      <c r="B2920" s="29"/>
      <c r="C2920" s="29"/>
      <c r="D2920" s="29"/>
      <c r="E2920" s="29"/>
      <c r="H2920" s="27"/>
      <c r="K2920"/>
      <c r="P2920" s="27"/>
      <c r="Q2920" s="27"/>
      <c r="R2920" s="27"/>
    </row>
    <row r="2921" spans="1:18">
      <c r="A2921" s="28"/>
      <c r="B2921" s="29"/>
      <c r="C2921" s="29"/>
      <c r="D2921" s="29"/>
      <c r="E2921" s="29"/>
      <c r="H2921" s="27"/>
      <c r="K2921"/>
      <c r="P2921" s="27"/>
      <c r="Q2921" s="27"/>
      <c r="R2921" s="27"/>
    </row>
    <row r="2922" spans="1:18">
      <c r="A2922" s="28"/>
      <c r="B2922" s="29"/>
      <c r="C2922" s="29"/>
      <c r="D2922" s="29"/>
      <c r="E2922" s="29"/>
      <c r="H2922" s="27"/>
      <c r="K2922"/>
      <c r="P2922" s="27"/>
      <c r="Q2922" s="27"/>
      <c r="R2922" s="27"/>
    </row>
    <row r="2923" spans="1:18">
      <c r="A2923" s="28"/>
      <c r="B2923" s="29"/>
      <c r="C2923" s="29"/>
      <c r="D2923" s="29"/>
      <c r="E2923" s="29"/>
      <c r="H2923" s="27"/>
      <c r="K2923"/>
      <c r="P2923" s="27"/>
      <c r="Q2923" s="27"/>
      <c r="R2923" s="27"/>
    </row>
    <row r="2924" spans="1:18">
      <c r="A2924" s="28"/>
      <c r="B2924" s="29"/>
      <c r="C2924" s="29"/>
      <c r="D2924" s="29"/>
      <c r="E2924" s="29"/>
      <c r="H2924" s="27"/>
      <c r="K2924"/>
      <c r="P2924" s="27"/>
      <c r="Q2924" s="27"/>
      <c r="R2924" s="27"/>
    </row>
    <row r="2925" spans="1:18">
      <c r="A2925" s="28"/>
      <c r="B2925" s="29"/>
      <c r="C2925" s="29"/>
      <c r="D2925" s="29"/>
      <c r="E2925" s="29"/>
      <c r="H2925" s="27"/>
      <c r="K2925"/>
      <c r="P2925" s="27"/>
      <c r="Q2925" s="27"/>
      <c r="R2925" s="27"/>
    </row>
    <row r="2926" spans="1:18">
      <c r="A2926" s="28"/>
      <c r="B2926" s="29"/>
      <c r="C2926" s="29"/>
      <c r="D2926" s="29"/>
      <c r="E2926" s="29"/>
      <c r="H2926" s="27"/>
      <c r="K2926"/>
      <c r="P2926" s="27"/>
      <c r="Q2926" s="27"/>
      <c r="R2926" s="27"/>
    </row>
    <row r="2927" spans="1:18">
      <c r="A2927" s="28"/>
      <c r="B2927" s="29"/>
      <c r="C2927" s="29"/>
      <c r="D2927" s="29"/>
      <c r="E2927" s="29"/>
      <c r="H2927" s="27"/>
      <c r="K2927"/>
      <c r="P2927" s="27"/>
      <c r="Q2927" s="27"/>
      <c r="R2927" s="27"/>
    </row>
    <row r="2928" spans="1:18">
      <c r="A2928" s="28"/>
      <c r="B2928" s="29"/>
      <c r="C2928" s="29"/>
      <c r="D2928" s="29"/>
      <c r="E2928" s="29"/>
      <c r="H2928" s="27"/>
      <c r="K2928"/>
      <c r="P2928" s="27"/>
      <c r="Q2928" s="27"/>
      <c r="R2928" s="27"/>
    </row>
    <row r="2929" spans="1:18">
      <c r="A2929" s="28"/>
      <c r="B2929" s="29"/>
      <c r="C2929" s="29"/>
      <c r="D2929" s="29"/>
      <c r="E2929" s="29"/>
      <c r="H2929" s="27"/>
      <c r="K2929"/>
      <c r="P2929" s="27"/>
      <c r="Q2929" s="27"/>
      <c r="R2929" s="27"/>
    </row>
    <row r="2930" spans="1:18">
      <c r="A2930" s="28"/>
      <c r="B2930" s="29"/>
      <c r="C2930" s="29"/>
      <c r="D2930" s="29"/>
      <c r="E2930" s="29"/>
      <c r="H2930" s="27"/>
      <c r="K2930"/>
      <c r="P2930" s="27"/>
      <c r="Q2930" s="27"/>
      <c r="R2930" s="27"/>
    </row>
    <row r="2931" spans="1:18">
      <c r="A2931" s="28"/>
      <c r="B2931" s="29"/>
      <c r="C2931" s="29"/>
      <c r="D2931" s="29"/>
      <c r="E2931" s="29"/>
      <c r="H2931" s="27"/>
      <c r="K2931"/>
      <c r="P2931" s="27"/>
      <c r="Q2931" s="27"/>
      <c r="R2931" s="27"/>
    </row>
    <row r="2932" spans="1:18">
      <c r="A2932" s="28"/>
      <c r="B2932" s="29"/>
      <c r="C2932" s="29"/>
      <c r="D2932" s="29"/>
      <c r="E2932" s="29"/>
      <c r="H2932" s="27"/>
      <c r="K2932"/>
      <c r="P2932" s="27"/>
      <c r="Q2932" s="27"/>
      <c r="R2932" s="27"/>
    </row>
    <row r="2933" spans="1:18">
      <c r="A2933" s="28"/>
      <c r="B2933" s="29"/>
      <c r="C2933" s="29"/>
      <c r="D2933" s="29"/>
      <c r="E2933" s="29"/>
      <c r="H2933" s="27"/>
      <c r="K2933"/>
      <c r="P2933" s="27"/>
      <c r="Q2933" s="27"/>
      <c r="R2933" s="27"/>
    </row>
    <row r="2934" spans="1:18">
      <c r="A2934" s="28"/>
      <c r="B2934" s="29"/>
      <c r="C2934" s="29"/>
      <c r="D2934" s="29"/>
      <c r="E2934" s="29"/>
      <c r="H2934" s="27"/>
      <c r="K2934"/>
      <c r="P2934" s="27"/>
      <c r="Q2934" s="27"/>
      <c r="R2934" s="27"/>
    </row>
    <row r="2935" spans="1:18">
      <c r="A2935" s="28"/>
      <c r="B2935" s="29"/>
      <c r="C2935" s="29"/>
      <c r="D2935" s="29"/>
      <c r="E2935" s="29"/>
      <c r="H2935" s="27"/>
      <c r="K2935"/>
      <c r="P2935" s="27"/>
      <c r="Q2935" s="27"/>
      <c r="R2935" s="27"/>
    </row>
    <row r="2936" spans="1:18">
      <c r="A2936" s="28"/>
      <c r="B2936" s="29"/>
      <c r="C2936" s="29"/>
      <c r="D2936" s="29"/>
      <c r="E2936" s="29"/>
      <c r="H2936" s="27"/>
      <c r="K2936"/>
      <c r="P2936" s="27"/>
      <c r="Q2936" s="27"/>
      <c r="R2936" s="27"/>
    </row>
    <row r="2937" spans="1:18">
      <c r="A2937" s="28"/>
      <c r="B2937" s="29"/>
      <c r="C2937" s="29"/>
      <c r="D2937" s="29"/>
      <c r="E2937" s="29"/>
      <c r="H2937" s="27"/>
      <c r="K2937"/>
      <c r="P2937" s="27"/>
      <c r="Q2937" s="27"/>
      <c r="R2937" s="27"/>
    </row>
    <row r="2938" spans="1:18">
      <c r="A2938" s="28"/>
      <c r="B2938" s="29"/>
      <c r="C2938" s="29"/>
      <c r="D2938" s="29"/>
      <c r="E2938" s="29"/>
      <c r="H2938" s="27"/>
      <c r="K2938"/>
      <c r="P2938" s="27"/>
      <c r="Q2938" s="27"/>
      <c r="R2938" s="27"/>
    </row>
    <row r="2939" spans="1:18">
      <c r="A2939" s="28"/>
      <c r="B2939" s="29"/>
      <c r="C2939" s="29"/>
      <c r="D2939" s="29"/>
      <c r="E2939" s="29"/>
      <c r="H2939" s="27"/>
      <c r="K2939"/>
      <c r="P2939" s="27"/>
      <c r="Q2939" s="27"/>
      <c r="R2939" s="27"/>
    </row>
    <row r="2940" spans="1:18">
      <c r="A2940" s="28"/>
      <c r="B2940" s="29"/>
      <c r="C2940" s="29"/>
      <c r="D2940" s="29"/>
      <c r="E2940" s="29"/>
      <c r="H2940" s="27"/>
      <c r="K2940"/>
      <c r="P2940" s="27"/>
      <c r="Q2940" s="27"/>
      <c r="R2940" s="27"/>
    </row>
    <row r="2941" spans="1:18">
      <c r="A2941" s="28"/>
      <c r="B2941" s="29"/>
      <c r="C2941" s="29"/>
      <c r="D2941" s="29"/>
      <c r="E2941" s="29"/>
      <c r="H2941" s="27"/>
      <c r="K2941"/>
      <c r="P2941" s="27"/>
      <c r="Q2941" s="27"/>
      <c r="R2941" s="27"/>
    </row>
    <row r="2942" spans="1:18">
      <c r="A2942" s="28"/>
      <c r="B2942" s="29"/>
      <c r="C2942" s="29"/>
      <c r="D2942" s="29"/>
      <c r="E2942" s="29"/>
      <c r="H2942" s="27"/>
      <c r="K2942"/>
      <c r="P2942" s="27"/>
      <c r="Q2942" s="27"/>
      <c r="R2942" s="27"/>
    </row>
    <row r="2943" spans="1:18">
      <c r="A2943" s="28"/>
      <c r="B2943" s="29"/>
      <c r="C2943" s="29"/>
      <c r="D2943" s="29"/>
      <c r="E2943" s="29"/>
      <c r="H2943" s="27"/>
      <c r="K2943"/>
      <c r="P2943" s="27"/>
      <c r="Q2943" s="27"/>
      <c r="R2943" s="27"/>
    </row>
    <row r="2944" spans="1:18">
      <c r="A2944" s="28"/>
      <c r="B2944" s="29"/>
      <c r="C2944" s="29"/>
      <c r="D2944" s="29"/>
      <c r="E2944" s="29"/>
      <c r="H2944" s="27"/>
      <c r="K2944"/>
      <c r="P2944" s="27"/>
      <c r="Q2944" s="27"/>
      <c r="R2944" s="27"/>
    </row>
    <row r="2945" spans="1:18">
      <c r="A2945" s="28"/>
      <c r="B2945" s="29"/>
      <c r="C2945" s="29"/>
      <c r="D2945" s="29"/>
      <c r="E2945" s="29"/>
      <c r="H2945" s="27"/>
      <c r="K2945"/>
      <c r="P2945" s="27"/>
      <c r="Q2945" s="27"/>
      <c r="R2945" s="27"/>
    </row>
    <row r="2946" spans="1:18">
      <c r="A2946" s="28"/>
      <c r="B2946" s="29"/>
      <c r="C2946" s="29"/>
      <c r="D2946" s="29"/>
      <c r="E2946" s="29"/>
      <c r="H2946" s="27"/>
      <c r="K2946"/>
      <c r="P2946" s="27"/>
      <c r="Q2946" s="27"/>
      <c r="R2946" s="27"/>
    </row>
    <row r="2947" spans="1:18">
      <c r="A2947" s="28"/>
      <c r="B2947" s="29"/>
      <c r="C2947" s="29"/>
      <c r="D2947" s="29"/>
      <c r="E2947" s="29"/>
      <c r="H2947" s="27"/>
      <c r="K2947"/>
      <c r="P2947" s="27"/>
      <c r="Q2947" s="27"/>
      <c r="R2947" s="27"/>
    </row>
    <row r="2948" spans="1:18">
      <c r="A2948" s="28"/>
      <c r="B2948" s="29"/>
      <c r="C2948" s="29"/>
      <c r="D2948" s="29"/>
      <c r="E2948" s="29"/>
      <c r="H2948" s="27"/>
      <c r="K2948"/>
      <c r="P2948" s="27"/>
      <c r="Q2948" s="27"/>
      <c r="R2948" s="27"/>
    </row>
    <row r="2949" spans="1:18">
      <c r="A2949" s="28"/>
      <c r="B2949" s="29"/>
      <c r="C2949" s="29"/>
      <c r="D2949" s="29"/>
      <c r="E2949" s="29"/>
      <c r="H2949" s="27"/>
      <c r="K2949"/>
      <c r="P2949" s="27"/>
      <c r="Q2949" s="27"/>
      <c r="R2949" s="27"/>
    </row>
    <row r="2950" spans="1:18">
      <c r="A2950" s="28"/>
      <c r="B2950" s="29"/>
      <c r="C2950" s="29"/>
      <c r="D2950" s="29"/>
      <c r="E2950" s="29"/>
      <c r="H2950" s="27"/>
      <c r="K2950"/>
      <c r="P2950" s="27"/>
      <c r="Q2950" s="27"/>
      <c r="R2950" s="27"/>
    </row>
    <row r="2951" spans="1:18">
      <c r="A2951" s="28"/>
      <c r="B2951" s="29"/>
      <c r="C2951" s="29"/>
      <c r="D2951" s="29"/>
      <c r="E2951" s="29"/>
      <c r="H2951" s="27"/>
      <c r="K2951"/>
      <c r="P2951" s="27"/>
      <c r="Q2951" s="27"/>
      <c r="R2951" s="27"/>
    </row>
    <row r="2952" spans="1:18">
      <c r="A2952" s="28"/>
      <c r="B2952" s="29"/>
      <c r="C2952" s="29"/>
      <c r="D2952" s="29"/>
      <c r="E2952" s="29"/>
      <c r="H2952" s="27"/>
      <c r="K2952"/>
      <c r="P2952" s="27"/>
      <c r="Q2952" s="27"/>
      <c r="R2952" s="27"/>
    </row>
    <row r="2953" spans="1:18">
      <c r="A2953" s="28"/>
      <c r="B2953" s="29"/>
      <c r="C2953" s="29"/>
      <c r="D2953" s="29"/>
      <c r="E2953" s="29"/>
      <c r="H2953" s="27"/>
      <c r="K2953"/>
      <c r="P2953" s="27"/>
      <c r="Q2953" s="27"/>
      <c r="R2953" s="27"/>
    </row>
    <row r="2954" spans="1:18">
      <c r="A2954" s="28"/>
      <c r="B2954" s="29"/>
      <c r="C2954" s="29"/>
      <c r="D2954" s="29"/>
      <c r="E2954" s="29"/>
      <c r="H2954" s="27"/>
      <c r="K2954"/>
      <c r="P2954" s="27"/>
      <c r="Q2954" s="27"/>
      <c r="R2954" s="27"/>
    </row>
    <row r="2955" spans="1:18">
      <c r="A2955" s="28"/>
      <c r="B2955" s="29"/>
      <c r="C2955" s="29"/>
      <c r="D2955" s="29"/>
      <c r="E2955" s="29"/>
      <c r="H2955" s="27"/>
      <c r="K2955"/>
      <c r="P2955" s="27"/>
      <c r="Q2955" s="27"/>
      <c r="R2955" s="27"/>
    </row>
    <row r="2956" spans="1:18">
      <c r="A2956" s="28"/>
      <c r="B2956" s="29"/>
      <c r="C2956" s="29"/>
      <c r="D2956" s="29"/>
      <c r="E2956" s="29"/>
      <c r="H2956" s="27"/>
      <c r="K2956"/>
      <c r="P2956" s="27"/>
      <c r="Q2956" s="27"/>
      <c r="R2956" s="27"/>
    </row>
    <row r="2957" spans="1:18">
      <c r="A2957" s="28"/>
      <c r="B2957" s="29"/>
      <c r="C2957" s="29"/>
      <c r="D2957" s="29"/>
      <c r="E2957" s="29"/>
      <c r="H2957" s="27"/>
      <c r="K2957"/>
      <c r="P2957" s="27"/>
      <c r="Q2957" s="27"/>
      <c r="R2957" s="27"/>
    </row>
    <row r="2958" spans="1:18">
      <c r="A2958" s="28"/>
      <c r="B2958" s="29"/>
      <c r="C2958" s="29"/>
      <c r="D2958" s="29"/>
      <c r="E2958" s="29"/>
      <c r="H2958" s="27"/>
      <c r="K2958"/>
      <c r="P2958" s="27"/>
      <c r="Q2958" s="27"/>
      <c r="R2958" s="27"/>
    </row>
    <row r="2959" spans="1:18">
      <c r="A2959" s="28"/>
      <c r="B2959" s="29"/>
      <c r="C2959" s="29"/>
      <c r="D2959" s="29"/>
      <c r="E2959" s="29"/>
      <c r="H2959" s="27"/>
      <c r="K2959"/>
      <c r="P2959" s="27"/>
      <c r="Q2959" s="27"/>
      <c r="R2959" s="27"/>
    </row>
    <row r="2960" spans="1:18">
      <c r="A2960" s="28"/>
      <c r="B2960" s="29"/>
      <c r="C2960" s="29"/>
      <c r="D2960" s="29"/>
      <c r="E2960" s="29"/>
      <c r="H2960" s="27"/>
      <c r="K2960"/>
      <c r="P2960" s="27"/>
      <c r="Q2960" s="27"/>
      <c r="R2960" s="27"/>
    </row>
    <row r="2961" spans="1:18">
      <c r="A2961" s="28"/>
      <c r="B2961" s="29"/>
      <c r="C2961" s="29"/>
      <c r="D2961" s="29"/>
      <c r="E2961" s="29"/>
      <c r="H2961" s="27"/>
      <c r="K2961"/>
      <c r="P2961" s="27"/>
      <c r="Q2961" s="27"/>
      <c r="R2961" s="27"/>
    </row>
    <row r="2962" spans="1:18">
      <c r="A2962" s="28"/>
      <c r="B2962" s="29"/>
      <c r="C2962" s="29"/>
      <c r="D2962" s="29"/>
      <c r="E2962" s="29"/>
      <c r="H2962" s="27"/>
      <c r="K2962"/>
      <c r="P2962" s="27"/>
      <c r="Q2962" s="27"/>
      <c r="R2962" s="27"/>
    </row>
    <row r="2963" spans="1:18">
      <c r="A2963" s="28"/>
      <c r="B2963" s="29"/>
      <c r="C2963" s="29"/>
      <c r="D2963" s="29"/>
      <c r="E2963" s="29"/>
      <c r="H2963" s="27"/>
      <c r="K2963"/>
      <c r="P2963" s="27"/>
      <c r="Q2963" s="27"/>
      <c r="R2963" s="27"/>
    </row>
    <row r="2964" spans="1:18">
      <c r="A2964" s="28"/>
      <c r="B2964" s="29"/>
      <c r="C2964" s="29"/>
      <c r="D2964" s="29"/>
      <c r="E2964" s="29"/>
      <c r="H2964" s="27"/>
      <c r="K2964"/>
      <c r="P2964" s="27"/>
      <c r="Q2964" s="27"/>
      <c r="R2964" s="27"/>
    </row>
    <row r="2965" spans="1:18">
      <c r="A2965" s="28"/>
      <c r="B2965" s="29"/>
      <c r="C2965" s="29"/>
      <c r="D2965" s="29"/>
      <c r="E2965" s="29"/>
      <c r="H2965" s="27"/>
      <c r="K2965"/>
      <c r="P2965" s="27"/>
      <c r="Q2965" s="27"/>
      <c r="R2965" s="27"/>
    </row>
    <row r="2966" spans="1:18">
      <c r="A2966" s="28"/>
      <c r="B2966" s="29"/>
      <c r="C2966" s="29"/>
      <c r="D2966" s="29"/>
      <c r="E2966" s="29"/>
      <c r="H2966" s="27"/>
      <c r="K2966"/>
      <c r="P2966" s="27"/>
      <c r="Q2966" s="27"/>
      <c r="R2966" s="27"/>
    </row>
    <row r="2967" spans="1:18">
      <c r="A2967" s="28"/>
      <c r="B2967" s="29"/>
      <c r="C2967" s="29"/>
      <c r="D2967" s="29"/>
      <c r="E2967" s="29"/>
      <c r="H2967" s="27"/>
      <c r="K2967"/>
      <c r="P2967" s="27"/>
      <c r="Q2967" s="27"/>
      <c r="R2967" s="27"/>
    </row>
    <row r="2968" spans="1:18">
      <c r="A2968" s="28"/>
      <c r="B2968" s="29"/>
      <c r="C2968" s="29"/>
      <c r="D2968" s="29"/>
      <c r="E2968" s="29"/>
      <c r="H2968" s="27"/>
      <c r="K2968"/>
      <c r="P2968" s="27"/>
      <c r="Q2968" s="27"/>
      <c r="R2968" s="27"/>
    </row>
    <row r="2969" spans="1:18">
      <c r="A2969" s="28"/>
      <c r="B2969" s="29"/>
      <c r="C2969" s="29"/>
      <c r="D2969" s="29"/>
      <c r="E2969" s="29"/>
      <c r="H2969" s="27"/>
      <c r="K2969"/>
      <c r="P2969" s="27"/>
      <c r="Q2969" s="27"/>
      <c r="R2969" s="27"/>
    </row>
    <row r="2970" spans="1:18">
      <c r="A2970" s="28"/>
      <c r="B2970" s="29"/>
      <c r="C2970" s="29"/>
      <c r="D2970" s="29"/>
      <c r="E2970" s="29"/>
      <c r="H2970" s="27"/>
      <c r="K2970"/>
      <c r="P2970" s="27"/>
      <c r="Q2970" s="27"/>
      <c r="R2970" s="27"/>
    </row>
    <row r="2971" spans="1:18">
      <c r="A2971" s="28"/>
      <c r="B2971" s="29"/>
      <c r="C2971" s="29"/>
      <c r="D2971" s="29"/>
      <c r="E2971" s="29"/>
      <c r="H2971" s="27"/>
      <c r="K2971"/>
      <c r="P2971" s="27"/>
      <c r="Q2971" s="27"/>
      <c r="R2971" s="27"/>
    </row>
    <row r="2972" spans="1:18">
      <c r="A2972" s="28"/>
      <c r="B2972" s="29"/>
      <c r="C2972" s="29"/>
      <c r="D2972" s="29"/>
      <c r="E2972" s="29"/>
      <c r="H2972" s="27"/>
      <c r="K2972"/>
      <c r="P2972" s="27"/>
      <c r="Q2972" s="27"/>
      <c r="R2972" s="27"/>
    </row>
    <row r="2973" spans="1:18">
      <c r="A2973" s="28"/>
      <c r="B2973" s="29"/>
      <c r="C2973" s="29"/>
      <c r="D2973" s="29"/>
      <c r="E2973" s="29"/>
      <c r="H2973" s="27"/>
      <c r="K2973"/>
      <c r="P2973" s="27"/>
      <c r="Q2973" s="27"/>
      <c r="R2973" s="27"/>
    </row>
    <row r="2974" spans="1:18">
      <c r="A2974" s="28"/>
      <c r="B2974" s="29"/>
      <c r="C2974" s="29"/>
      <c r="D2974" s="29"/>
      <c r="E2974" s="29"/>
      <c r="H2974" s="27"/>
      <c r="K2974"/>
      <c r="P2974" s="27"/>
      <c r="Q2974" s="27"/>
      <c r="R2974" s="27"/>
    </row>
    <row r="2975" spans="1:18">
      <c r="A2975" s="28"/>
      <c r="B2975" s="29"/>
      <c r="C2975" s="29"/>
      <c r="D2975" s="29"/>
      <c r="E2975" s="29"/>
      <c r="H2975" s="27"/>
      <c r="K2975"/>
      <c r="P2975" s="27"/>
      <c r="Q2975" s="27"/>
      <c r="R2975" s="27"/>
    </row>
    <row r="2976" spans="1:18">
      <c r="A2976" s="28"/>
      <c r="B2976" s="29"/>
      <c r="C2976" s="29"/>
      <c r="D2976" s="29"/>
      <c r="E2976" s="29"/>
      <c r="H2976" s="27"/>
      <c r="K2976"/>
      <c r="P2976" s="27"/>
      <c r="Q2976" s="27"/>
      <c r="R2976" s="27"/>
    </row>
    <row r="2977" spans="1:18">
      <c r="A2977" s="28"/>
      <c r="B2977" s="29"/>
      <c r="C2977" s="29"/>
      <c r="D2977" s="29"/>
      <c r="E2977" s="29"/>
      <c r="H2977" s="27"/>
      <c r="K2977"/>
      <c r="P2977" s="27"/>
      <c r="Q2977" s="27"/>
      <c r="R2977" s="27"/>
    </row>
    <row r="2978" spans="1:18">
      <c r="A2978" s="28"/>
      <c r="B2978" s="29"/>
      <c r="C2978" s="29"/>
      <c r="D2978" s="29"/>
      <c r="E2978" s="29"/>
      <c r="H2978" s="27"/>
      <c r="K2978"/>
      <c r="P2978" s="27"/>
      <c r="Q2978" s="27"/>
      <c r="R2978" s="27"/>
    </row>
    <row r="2979" spans="1:18">
      <c r="A2979" s="28"/>
      <c r="B2979" s="29"/>
      <c r="C2979" s="29"/>
      <c r="D2979" s="29"/>
      <c r="E2979" s="29"/>
      <c r="H2979" s="27"/>
      <c r="K2979"/>
      <c r="P2979" s="27"/>
      <c r="Q2979" s="27"/>
      <c r="R2979" s="27"/>
    </row>
    <row r="2980" spans="1:18">
      <c r="A2980" s="28"/>
      <c r="B2980" s="29"/>
      <c r="C2980" s="29"/>
      <c r="D2980" s="29"/>
      <c r="E2980" s="29"/>
      <c r="H2980" s="27"/>
      <c r="K2980"/>
      <c r="P2980" s="27"/>
      <c r="Q2980" s="27"/>
      <c r="R2980" s="27"/>
    </row>
    <row r="2981" spans="1:18">
      <c r="A2981" s="28"/>
      <c r="B2981" s="29"/>
      <c r="C2981" s="29"/>
      <c r="D2981" s="29"/>
      <c r="E2981" s="29"/>
      <c r="H2981" s="27"/>
      <c r="K2981"/>
      <c r="P2981" s="27"/>
      <c r="Q2981" s="27"/>
      <c r="R2981" s="27"/>
    </row>
    <row r="2982" spans="1:18">
      <c r="A2982" s="28"/>
      <c r="B2982" s="29"/>
      <c r="C2982" s="29"/>
      <c r="D2982" s="29"/>
      <c r="E2982" s="29"/>
      <c r="H2982" s="27"/>
      <c r="K2982"/>
      <c r="P2982" s="27"/>
      <c r="Q2982" s="27"/>
      <c r="R2982" s="27"/>
    </row>
    <row r="2983" spans="1:18">
      <c r="A2983" s="28"/>
      <c r="B2983" s="29"/>
      <c r="C2983" s="29"/>
      <c r="D2983" s="29"/>
      <c r="E2983" s="29"/>
      <c r="H2983" s="27"/>
      <c r="K2983"/>
      <c r="P2983" s="27"/>
      <c r="Q2983" s="27"/>
      <c r="R2983" s="27"/>
    </row>
    <row r="2984" spans="1:18">
      <c r="A2984" s="28"/>
      <c r="B2984" s="29"/>
      <c r="C2984" s="29"/>
      <c r="D2984" s="29"/>
      <c r="E2984" s="29"/>
      <c r="H2984" s="27"/>
      <c r="K2984"/>
      <c r="P2984" s="27"/>
      <c r="Q2984" s="27"/>
      <c r="R2984" s="27"/>
    </row>
    <row r="2985" spans="1:18">
      <c r="A2985" s="28"/>
      <c r="B2985" s="29"/>
      <c r="C2985" s="29"/>
      <c r="D2985" s="29"/>
      <c r="E2985" s="29"/>
      <c r="H2985" s="27"/>
      <c r="K2985"/>
      <c r="P2985" s="27"/>
      <c r="Q2985" s="27"/>
      <c r="R2985" s="27"/>
    </row>
    <row r="2986" spans="1:18">
      <c r="A2986" s="28"/>
      <c r="B2986" s="29"/>
      <c r="C2986" s="29"/>
      <c r="D2986" s="29"/>
      <c r="E2986" s="29"/>
      <c r="H2986" s="27"/>
      <c r="K2986"/>
      <c r="P2986" s="27"/>
      <c r="Q2986" s="27"/>
      <c r="R2986" s="27"/>
    </row>
    <row r="2987" spans="1:18">
      <c r="A2987" s="28"/>
      <c r="B2987" s="29"/>
      <c r="C2987" s="29"/>
      <c r="D2987" s="29"/>
      <c r="E2987" s="29"/>
      <c r="H2987" s="27"/>
      <c r="K2987"/>
      <c r="P2987" s="27"/>
      <c r="Q2987" s="27"/>
      <c r="R2987" s="27"/>
    </row>
    <row r="2988" spans="1:18">
      <c r="A2988" s="28"/>
      <c r="B2988" s="29"/>
      <c r="C2988" s="29"/>
      <c r="D2988" s="29"/>
      <c r="E2988" s="29"/>
      <c r="H2988" s="27"/>
      <c r="K2988"/>
      <c r="P2988" s="27"/>
      <c r="Q2988" s="27"/>
      <c r="R2988" s="27"/>
    </row>
    <row r="2989" spans="1:18">
      <c r="A2989" s="28"/>
      <c r="B2989" s="29"/>
      <c r="C2989" s="29"/>
      <c r="D2989" s="29"/>
      <c r="E2989" s="29"/>
      <c r="H2989" s="27"/>
      <c r="K2989"/>
      <c r="P2989" s="27"/>
      <c r="Q2989" s="27"/>
      <c r="R2989" s="27"/>
    </row>
    <row r="2990" spans="1:18">
      <c r="A2990" s="28"/>
      <c r="B2990" s="29"/>
      <c r="C2990" s="29"/>
      <c r="D2990" s="29"/>
      <c r="E2990" s="29"/>
      <c r="H2990" s="27"/>
      <c r="K2990"/>
      <c r="P2990" s="27"/>
      <c r="Q2990" s="27"/>
      <c r="R2990" s="27"/>
    </row>
    <row r="2991" spans="1:18">
      <c r="A2991" s="28"/>
      <c r="B2991" s="29"/>
      <c r="C2991" s="29"/>
      <c r="D2991" s="29"/>
      <c r="E2991" s="29"/>
      <c r="H2991" s="27"/>
      <c r="K2991"/>
      <c r="P2991" s="27"/>
      <c r="Q2991" s="27"/>
      <c r="R2991" s="27"/>
    </row>
    <row r="2992" spans="1:18">
      <c r="A2992" s="28"/>
      <c r="B2992" s="29"/>
      <c r="C2992" s="29"/>
      <c r="D2992" s="29"/>
      <c r="E2992" s="29"/>
      <c r="H2992" s="27"/>
      <c r="K2992"/>
      <c r="P2992" s="27"/>
      <c r="Q2992" s="27"/>
      <c r="R2992" s="27"/>
    </row>
    <row r="2993" spans="1:18">
      <c r="A2993" s="28"/>
      <c r="B2993" s="29"/>
      <c r="C2993" s="29"/>
      <c r="D2993" s="29"/>
      <c r="E2993" s="29"/>
      <c r="H2993" s="27"/>
      <c r="K2993"/>
      <c r="P2993" s="27"/>
      <c r="Q2993" s="27"/>
      <c r="R2993" s="27"/>
    </row>
    <row r="2994" spans="1:18">
      <c r="A2994" s="28"/>
      <c r="B2994" s="29"/>
      <c r="C2994" s="29"/>
      <c r="D2994" s="29"/>
      <c r="E2994" s="29"/>
      <c r="H2994" s="27"/>
      <c r="K2994"/>
      <c r="P2994" s="27"/>
      <c r="Q2994" s="27"/>
      <c r="R2994" s="27"/>
    </row>
    <row r="2995" spans="1:18">
      <c r="A2995" s="28"/>
      <c r="B2995" s="29"/>
      <c r="C2995" s="29"/>
      <c r="D2995" s="29"/>
      <c r="E2995" s="29"/>
      <c r="H2995" s="27"/>
      <c r="K2995"/>
      <c r="P2995" s="27"/>
      <c r="Q2995" s="27"/>
      <c r="R2995" s="27"/>
    </row>
    <row r="2996" spans="1:18">
      <c r="A2996" s="28"/>
      <c r="B2996" s="29"/>
      <c r="C2996" s="29"/>
      <c r="D2996" s="29"/>
      <c r="E2996" s="29"/>
      <c r="H2996" s="27"/>
      <c r="K2996"/>
      <c r="P2996" s="27"/>
      <c r="Q2996" s="27"/>
      <c r="R2996" s="27"/>
    </row>
    <row r="2997" spans="1:18">
      <c r="A2997" s="28"/>
      <c r="B2997" s="29"/>
      <c r="C2997" s="29"/>
      <c r="D2997" s="29"/>
      <c r="E2997" s="29"/>
      <c r="H2997" s="27"/>
      <c r="K2997"/>
      <c r="P2997" s="27"/>
      <c r="Q2997" s="27"/>
      <c r="R2997" s="27"/>
    </row>
    <row r="2998" spans="1:18">
      <c r="A2998" s="28"/>
      <c r="B2998" s="29"/>
      <c r="C2998" s="29"/>
      <c r="D2998" s="29"/>
      <c r="E2998" s="29"/>
      <c r="H2998" s="27"/>
      <c r="K2998"/>
      <c r="P2998" s="27"/>
      <c r="Q2998" s="27"/>
      <c r="R2998" s="27"/>
    </row>
    <row r="2999" spans="1:18">
      <c r="A2999" s="28"/>
      <c r="B2999" s="29"/>
      <c r="C2999" s="29"/>
      <c r="D2999" s="29"/>
      <c r="E2999" s="29"/>
      <c r="H2999" s="27"/>
      <c r="K2999"/>
      <c r="P2999" s="27"/>
      <c r="Q2999" s="27"/>
      <c r="R2999" s="27"/>
    </row>
    <row r="3000" spans="1:18">
      <c r="A3000" s="28"/>
      <c r="B3000" s="29"/>
      <c r="C3000" s="29"/>
      <c r="D3000" s="29"/>
      <c r="E3000" s="29"/>
      <c r="H3000" s="27"/>
      <c r="K3000"/>
      <c r="P3000" s="27"/>
      <c r="Q3000" s="27"/>
      <c r="R3000" s="27"/>
    </row>
    <row r="3001" spans="1:18">
      <c r="A3001" s="28"/>
      <c r="B3001" s="29"/>
      <c r="C3001" s="29"/>
      <c r="D3001" s="29"/>
      <c r="E3001" s="29"/>
      <c r="H3001" s="27"/>
      <c r="K3001"/>
      <c r="P3001" s="27"/>
      <c r="Q3001" s="27"/>
      <c r="R3001" s="27"/>
    </row>
    <row r="3002" spans="1:18">
      <c r="A3002" s="28"/>
      <c r="B3002" s="29"/>
      <c r="C3002" s="29"/>
      <c r="D3002" s="29"/>
      <c r="E3002" s="29"/>
      <c r="H3002" s="27"/>
      <c r="K3002"/>
      <c r="P3002" s="27"/>
      <c r="Q3002" s="27"/>
      <c r="R3002" s="27"/>
    </row>
    <row r="3003" spans="1:18">
      <c r="A3003" s="28"/>
      <c r="B3003" s="29"/>
      <c r="C3003" s="29"/>
      <c r="D3003" s="29"/>
      <c r="E3003" s="29"/>
      <c r="H3003" s="27"/>
      <c r="K3003"/>
      <c r="P3003" s="27"/>
      <c r="Q3003" s="27"/>
      <c r="R3003" s="27"/>
    </row>
    <row r="3004" spans="1:18">
      <c r="A3004" s="28"/>
      <c r="B3004" s="29"/>
      <c r="C3004" s="29"/>
      <c r="D3004" s="29"/>
      <c r="E3004" s="29"/>
      <c r="H3004" s="27"/>
      <c r="K3004"/>
      <c r="P3004" s="27"/>
      <c r="Q3004" s="27"/>
      <c r="R3004" s="27"/>
    </row>
    <row r="3005" spans="1:18">
      <c r="A3005" s="28"/>
      <c r="B3005" s="29"/>
      <c r="C3005" s="29"/>
      <c r="D3005" s="29"/>
      <c r="E3005" s="29"/>
      <c r="H3005" s="27"/>
      <c r="K3005"/>
      <c r="P3005" s="27"/>
      <c r="Q3005" s="27"/>
      <c r="R3005" s="27"/>
    </row>
    <row r="3006" spans="1:18">
      <c r="A3006" s="28"/>
      <c r="B3006" s="29"/>
      <c r="C3006" s="29"/>
      <c r="D3006" s="29"/>
      <c r="E3006" s="29"/>
      <c r="H3006" s="27"/>
      <c r="K3006"/>
      <c r="P3006" s="27"/>
      <c r="Q3006" s="27"/>
      <c r="R3006" s="27"/>
    </row>
    <row r="3007" spans="1:18">
      <c r="A3007" s="28"/>
      <c r="B3007" s="29"/>
      <c r="C3007" s="29"/>
      <c r="D3007" s="29"/>
      <c r="E3007" s="29"/>
      <c r="H3007" s="27"/>
      <c r="K3007"/>
      <c r="P3007" s="27"/>
      <c r="Q3007" s="27"/>
      <c r="R3007" s="27"/>
    </row>
    <row r="3008" spans="1:18">
      <c r="A3008" s="28"/>
      <c r="B3008" s="29"/>
      <c r="C3008" s="29"/>
      <c r="D3008" s="29"/>
      <c r="E3008" s="29"/>
      <c r="H3008" s="27"/>
      <c r="K3008"/>
      <c r="P3008" s="27"/>
      <c r="Q3008" s="27"/>
      <c r="R3008" s="27"/>
    </row>
    <row r="3009" spans="1:18">
      <c r="A3009" s="28"/>
      <c r="B3009" s="29"/>
      <c r="C3009" s="29"/>
      <c r="D3009" s="29"/>
      <c r="E3009" s="29"/>
      <c r="H3009" s="27"/>
      <c r="K3009"/>
      <c r="P3009" s="27"/>
      <c r="Q3009" s="27"/>
      <c r="R3009" s="27"/>
    </row>
    <row r="3010" spans="1:18">
      <c r="A3010" s="28"/>
      <c r="B3010" s="29"/>
      <c r="C3010" s="29"/>
      <c r="D3010" s="29"/>
      <c r="E3010" s="29"/>
      <c r="H3010" s="27"/>
      <c r="K3010"/>
      <c r="P3010" s="27"/>
      <c r="Q3010" s="27"/>
      <c r="R3010" s="27"/>
    </row>
    <row r="3011" spans="1:18">
      <c r="A3011" s="28"/>
      <c r="B3011" s="29"/>
      <c r="C3011" s="29"/>
      <c r="D3011" s="29"/>
      <c r="E3011" s="29"/>
      <c r="H3011" s="27"/>
      <c r="K3011"/>
      <c r="P3011" s="27"/>
      <c r="Q3011" s="27"/>
      <c r="R3011" s="27"/>
    </row>
    <row r="3012" spans="1:18">
      <c r="A3012" s="28"/>
      <c r="B3012" s="29"/>
      <c r="C3012" s="29"/>
      <c r="D3012" s="29"/>
      <c r="E3012" s="29"/>
      <c r="H3012" s="27"/>
      <c r="K3012"/>
      <c r="P3012" s="27"/>
      <c r="Q3012" s="27"/>
      <c r="R3012" s="27"/>
    </row>
    <row r="3013" spans="1:18">
      <c r="A3013" s="28"/>
      <c r="B3013" s="29"/>
      <c r="C3013" s="29"/>
      <c r="D3013" s="29"/>
      <c r="E3013" s="29"/>
      <c r="H3013" s="27"/>
      <c r="K3013"/>
      <c r="P3013" s="27"/>
      <c r="Q3013" s="27"/>
      <c r="R3013" s="27"/>
    </row>
    <row r="3014" spans="1:18">
      <c r="A3014" s="28"/>
      <c r="B3014" s="29"/>
      <c r="C3014" s="29"/>
      <c r="D3014" s="29"/>
      <c r="E3014" s="29"/>
      <c r="H3014" s="27"/>
      <c r="K3014"/>
      <c r="P3014" s="27"/>
      <c r="Q3014" s="27"/>
      <c r="R3014" s="27"/>
    </row>
    <row r="3015" spans="1:18">
      <c r="A3015" s="28"/>
      <c r="B3015" s="29"/>
      <c r="C3015" s="29"/>
      <c r="D3015" s="29"/>
      <c r="E3015" s="29"/>
      <c r="H3015" s="27"/>
      <c r="K3015"/>
      <c r="P3015" s="27"/>
      <c r="Q3015" s="27"/>
      <c r="R3015" s="27"/>
    </row>
    <row r="3016" spans="1:18">
      <c r="A3016" s="28"/>
      <c r="B3016" s="29"/>
      <c r="C3016" s="29"/>
      <c r="D3016" s="29"/>
      <c r="E3016" s="29"/>
      <c r="H3016" s="27"/>
      <c r="K3016"/>
      <c r="P3016" s="27"/>
      <c r="Q3016" s="27"/>
      <c r="R3016" s="27"/>
    </row>
    <row r="3017" spans="1:18">
      <c r="A3017" s="28"/>
      <c r="B3017" s="29"/>
      <c r="C3017" s="29"/>
      <c r="D3017" s="29"/>
      <c r="E3017" s="29"/>
      <c r="H3017" s="27"/>
      <c r="K3017"/>
      <c r="P3017" s="27"/>
      <c r="Q3017" s="27"/>
      <c r="R3017" s="27"/>
    </row>
    <row r="3018" spans="1:18">
      <c r="A3018" s="28"/>
      <c r="B3018" s="29"/>
      <c r="C3018" s="29"/>
      <c r="D3018" s="29"/>
      <c r="E3018" s="29"/>
      <c r="H3018" s="27"/>
      <c r="K3018"/>
      <c r="P3018" s="27"/>
      <c r="Q3018" s="27"/>
      <c r="R3018" s="27"/>
    </row>
    <row r="3019" spans="1:18">
      <c r="A3019" s="28"/>
      <c r="B3019" s="29"/>
      <c r="C3019" s="29"/>
      <c r="D3019" s="29"/>
      <c r="E3019" s="29"/>
      <c r="H3019" s="27"/>
      <c r="K3019"/>
      <c r="P3019" s="27"/>
      <c r="Q3019" s="27"/>
      <c r="R3019" s="27"/>
    </row>
    <row r="3020" spans="1:18">
      <c r="A3020" s="28"/>
      <c r="B3020" s="29"/>
      <c r="C3020" s="29"/>
      <c r="D3020" s="29"/>
      <c r="E3020" s="29"/>
      <c r="H3020" s="27"/>
      <c r="K3020"/>
      <c r="P3020" s="27"/>
      <c r="Q3020" s="27"/>
      <c r="R3020" s="27"/>
    </row>
    <row r="3021" spans="1:18">
      <c r="A3021" s="28"/>
      <c r="B3021" s="29"/>
      <c r="C3021" s="29"/>
      <c r="D3021" s="29"/>
      <c r="E3021" s="29"/>
      <c r="H3021" s="27"/>
      <c r="K3021"/>
      <c r="P3021" s="27"/>
      <c r="Q3021" s="27"/>
      <c r="R3021" s="27"/>
    </row>
    <row r="3022" spans="1:18">
      <c r="A3022" s="28"/>
      <c r="B3022" s="29"/>
      <c r="C3022" s="29"/>
      <c r="D3022" s="29"/>
      <c r="E3022" s="29"/>
      <c r="H3022" s="27"/>
      <c r="K3022"/>
      <c r="P3022" s="27"/>
      <c r="Q3022" s="27"/>
      <c r="R3022" s="27"/>
    </row>
    <row r="3023" spans="1:18">
      <c r="A3023" s="28"/>
      <c r="B3023" s="29"/>
      <c r="C3023" s="29"/>
      <c r="D3023" s="29"/>
      <c r="E3023" s="29"/>
      <c r="H3023" s="27"/>
      <c r="K3023"/>
      <c r="P3023" s="27"/>
      <c r="Q3023" s="27"/>
      <c r="R3023" s="27"/>
    </row>
    <row r="3024" spans="1:18">
      <c r="A3024" s="28"/>
      <c r="B3024" s="29"/>
      <c r="C3024" s="29"/>
      <c r="D3024" s="29"/>
      <c r="E3024" s="29"/>
      <c r="H3024" s="27"/>
      <c r="K3024"/>
      <c r="P3024" s="27"/>
      <c r="Q3024" s="27"/>
      <c r="R3024" s="27"/>
    </row>
    <row r="3025" spans="1:18">
      <c r="A3025" s="28"/>
      <c r="B3025" s="29"/>
      <c r="C3025" s="29"/>
      <c r="D3025" s="29"/>
      <c r="E3025" s="29"/>
      <c r="H3025" s="27"/>
      <c r="K3025"/>
      <c r="P3025" s="27"/>
      <c r="Q3025" s="27"/>
      <c r="R3025" s="27"/>
    </row>
    <row r="3026" spans="1:18">
      <c r="A3026" s="28"/>
      <c r="B3026" s="29"/>
      <c r="C3026" s="29"/>
      <c r="D3026" s="29"/>
      <c r="E3026" s="29"/>
      <c r="H3026" s="27"/>
      <c r="K3026"/>
      <c r="P3026" s="27"/>
      <c r="Q3026" s="27"/>
      <c r="R3026" s="27"/>
    </row>
    <row r="3027" spans="1:18">
      <c r="A3027" s="28"/>
      <c r="B3027" s="29"/>
      <c r="C3027" s="29"/>
      <c r="D3027" s="29"/>
      <c r="E3027" s="29"/>
      <c r="H3027" s="27"/>
      <c r="K3027"/>
      <c r="P3027" s="27"/>
      <c r="Q3027" s="27"/>
      <c r="R3027" s="27"/>
    </row>
    <row r="3028" spans="1:18">
      <c r="A3028" s="28"/>
      <c r="B3028" s="29"/>
      <c r="C3028" s="29"/>
      <c r="D3028" s="29"/>
      <c r="E3028" s="29"/>
      <c r="H3028" s="27"/>
      <c r="K3028"/>
      <c r="P3028" s="27"/>
      <c r="Q3028" s="27"/>
      <c r="R3028" s="27"/>
    </row>
    <row r="3029" spans="1:18">
      <c r="A3029" s="28"/>
      <c r="B3029" s="29"/>
      <c r="C3029" s="29"/>
      <c r="D3029" s="29"/>
      <c r="E3029" s="29"/>
      <c r="H3029" s="27"/>
      <c r="K3029"/>
      <c r="P3029" s="27"/>
      <c r="Q3029" s="27"/>
      <c r="R3029" s="27"/>
    </row>
    <row r="3030" spans="1:18">
      <c r="A3030" s="28"/>
      <c r="B3030" s="29"/>
      <c r="C3030" s="29"/>
      <c r="D3030" s="29"/>
      <c r="E3030" s="29"/>
      <c r="H3030" s="27"/>
      <c r="K3030"/>
      <c r="P3030" s="27"/>
      <c r="Q3030" s="27"/>
      <c r="R3030" s="27"/>
    </row>
    <row r="3031" spans="1:18">
      <c r="A3031" s="28"/>
      <c r="B3031" s="29"/>
      <c r="C3031" s="29"/>
      <c r="D3031" s="29"/>
      <c r="E3031" s="29"/>
      <c r="H3031" s="27"/>
      <c r="K3031"/>
      <c r="P3031" s="27"/>
      <c r="Q3031" s="27"/>
      <c r="R3031" s="27"/>
    </row>
    <row r="3032" spans="1:18">
      <c r="A3032" s="28"/>
      <c r="B3032" s="29"/>
      <c r="C3032" s="29"/>
      <c r="D3032" s="29"/>
      <c r="E3032" s="29"/>
      <c r="H3032" s="27"/>
      <c r="K3032"/>
      <c r="P3032" s="27"/>
      <c r="Q3032" s="27"/>
      <c r="R3032" s="27"/>
    </row>
    <row r="3033" spans="1:18">
      <c r="A3033" s="28"/>
      <c r="B3033" s="29"/>
      <c r="C3033" s="29"/>
      <c r="D3033" s="29"/>
      <c r="E3033" s="29"/>
      <c r="H3033" s="27"/>
      <c r="K3033"/>
      <c r="P3033" s="27"/>
      <c r="Q3033" s="27"/>
      <c r="R3033" s="27"/>
    </row>
    <row r="3034" spans="1:18">
      <c r="A3034" s="28"/>
      <c r="B3034" s="29"/>
      <c r="C3034" s="29"/>
      <c r="D3034" s="29"/>
      <c r="E3034" s="29"/>
      <c r="H3034" s="27"/>
      <c r="K3034"/>
      <c r="P3034" s="27"/>
      <c r="Q3034" s="27"/>
      <c r="R3034" s="27"/>
    </row>
    <row r="3035" spans="1:18">
      <c r="A3035" s="28"/>
      <c r="B3035" s="29"/>
      <c r="C3035" s="29"/>
      <c r="D3035" s="29"/>
      <c r="E3035" s="29"/>
      <c r="H3035" s="27"/>
      <c r="K3035"/>
      <c r="P3035" s="27"/>
      <c r="Q3035" s="27"/>
      <c r="R3035" s="27"/>
    </row>
    <row r="3036" spans="1:18">
      <c r="A3036" s="28"/>
      <c r="B3036" s="29"/>
      <c r="C3036" s="29"/>
      <c r="D3036" s="29"/>
      <c r="E3036" s="29"/>
      <c r="H3036" s="27"/>
      <c r="K3036"/>
      <c r="P3036" s="27"/>
      <c r="Q3036" s="27"/>
      <c r="R3036" s="27"/>
    </row>
    <row r="3037" spans="1:18">
      <c r="A3037" s="28"/>
      <c r="B3037" s="29"/>
      <c r="C3037" s="29"/>
      <c r="D3037" s="29"/>
      <c r="E3037" s="29"/>
      <c r="H3037" s="27"/>
      <c r="K3037"/>
      <c r="P3037" s="27"/>
      <c r="Q3037" s="27"/>
      <c r="R3037" s="27"/>
    </row>
    <row r="3038" spans="1:18">
      <c r="A3038" s="28"/>
      <c r="B3038" s="29"/>
      <c r="C3038" s="29"/>
      <c r="D3038" s="29"/>
      <c r="E3038" s="29"/>
      <c r="H3038" s="27"/>
      <c r="K3038"/>
      <c r="P3038" s="27"/>
      <c r="Q3038" s="27"/>
      <c r="R3038" s="27"/>
    </row>
    <row r="3039" spans="1:18">
      <c r="A3039" s="28"/>
      <c r="B3039" s="29"/>
      <c r="C3039" s="29"/>
      <c r="D3039" s="29"/>
      <c r="E3039" s="29"/>
      <c r="H3039" s="27"/>
      <c r="K3039"/>
      <c r="P3039" s="27"/>
      <c r="Q3039" s="27"/>
      <c r="R3039" s="27"/>
    </row>
    <row r="3040" spans="1:18">
      <c r="A3040" s="28"/>
      <c r="B3040" s="29"/>
      <c r="C3040" s="29"/>
      <c r="D3040" s="29"/>
      <c r="E3040" s="29"/>
      <c r="H3040" s="27"/>
      <c r="K3040"/>
      <c r="P3040" s="27"/>
      <c r="Q3040" s="27"/>
      <c r="R3040" s="27"/>
    </row>
    <row r="3041" spans="1:18">
      <c r="A3041" s="28"/>
      <c r="B3041" s="29"/>
      <c r="C3041" s="29"/>
      <c r="D3041" s="29"/>
      <c r="E3041" s="29"/>
      <c r="H3041" s="27"/>
      <c r="K3041"/>
      <c r="P3041" s="27"/>
      <c r="Q3041" s="27"/>
      <c r="R3041" s="27"/>
    </row>
    <row r="3042" spans="1:18">
      <c r="A3042" s="28"/>
      <c r="B3042" s="29"/>
      <c r="C3042" s="29"/>
      <c r="D3042" s="29"/>
      <c r="E3042" s="29"/>
      <c r="H3042" s="27"/>
      <c r="K3042"/>
      <c r="P3042" s="27"/>
      <c r="Q3042" s="27"/>
      <c r="R3042" s="27"/>
    </row>
    <row r="3043" spans="1:18">
      <c r="A3043" s="28"/>
      <c r="B3043" s="29"/>
      <c r="C3043" s="29"/>
      <c r="D3043" s="29"/>
      <c r="E3043" s="29"/>
      <c r="H3043" s="27"/>
      <c r="K3043"/>
      <c r="P3043" s="27"/>
      <c r="Q3043" s="27"/>
      <c r="R3043" s="27"/>
    </row>
    <row r="3044" spans="1:18">
      <c r="A3044" s="28"/>
      <c r="B3044" s="29"/>
      <c r="C3044" s="29"/>
      <c r="D3044" s="29"/>
      <c r="E3044" s="29"/>
      <c r="H3044" s="27"/>
      <c r="K3044"/>
      <c r="P3044" s="27"/>
      <c r="Q3044" s="27"/>
      <c r="R3044" s="27"/>
    </row>
    <row r="3045" spans="1:18">
      <c r="A3045" s="28"/>
      <c r="B3045" s="29"/>
      <c r="C3045" s="29"/>
      <c r="D3045" s="29"/>
      <c r="E3045" s="29"/>
      <c r="H3045" s="27"/>
      <c r="K3045"/>
      <c r="P3045" s="27"/>
      <c r="Q3045" s="27"/>
      <c r="R3045" s="27"/>
    </row>
    <row r="3046" spans="1:18">
      <c r="A3046" s="28"/>
      <c r="B3046" s="29"/>
      <c r="C3046" s="29"/>
      <c r="D3046" s="29"/>
      <c r="E3046" s="29"/>
      <c r="H3046" s="27"/>
      <c r="K3046"/>
      <c r="P3046" s="27"/>
      <c r="Q3046" s="27"/>
      <c r="R3046" s="27"/>
    </row>
    <row r="3047" spans="1:18">
      <c r="A3047" s="28"/>
      <c r="B3047" s="29"/>
      <c r="C3047" s="29"/>
      <c r="D3047" s="29"/>
      <c r="E3047" s="29"/>
      <c r="H3047" s="27"/>
      <c r="K3047"/>
      <c r="P3047" s="27"/>
      <c r="Q3047" s="27"/>
      <c r="R3047" s="27"/>
    </row>
    <row r="3048" spans="1:18">
      <c r="A3048" s="28"/>
      <c r="B3048" s="29"/>
      <c r="C3048" s="29"/>
      <c r="D3048" s="29"/>
      <c r="E3048" s="29"/>
      <c r="H3048" s="27"/>
      <c r="K3048"/>
      <c r="P3048" s="27"/>
      <c r="Q3048" s="27"/>
      <c r="R3048" s="27"/>
    </row>
    <row r="3049" spans="1:18">
      <c r="A3049" s="28"/>
      <c r="B3049" s="29"/>
      <c r="C3049" s="29"/>
      <c r="D3049" s="29"/>
      <c r="E3049" s="29"/>
      <c r="H3049" s="27"/>
      <c r="K3049"/>
      <c r="P3049" s="27"/>
      <c r="Q3049" s="27"/>
      <c r="R3049" s="27"/>
    </row>
    <row r="3050" spans="1:18">
      <c r="A3050" s="28"/>
      <c r="B3050" s="29"/>
      <c r="C3050" s="29"/>
      <c r="D3050" s="29"/>
      <c r="E3050" s="29"/>
      <c r="H3050" s="27"/>
      <c r="K3050"/>
      <c r="P3050" s="27"/>
      <c r="Q3050" s="27"/>
      <c r="R3050" s="27"/>
    </row>
    <row r="3051" spans="1:18">
      <c r="A3051" s="28"/>
      <c r="B3051" s="29"/>
      <c r="C3051" s="29"/>
      <c r="D3051" s="29"/>
      <c r="E3051" s="29"/>
      <c r="H3051" s="27"/>
      <c r="K3051"/>
      <c r="P3051" s="27"/>
      <c r="Q3051" s="27"/>
      <c r="R3051" s="27"/>
    </row>
    <row r="3052" spans="1:18">
      <c r="A3052" s="28"/>
      <c r="B3052" s="29"/>
      <c r="C3052" s="29"/>
      <c r="D3052" s="29"/>
      <c r="E3052" s="29"/>
      <c r="H3052" s="27"/>
      <c r="K3052"/>
      <c r="P3052" s="27"/>
      <c r="Q3052" s="27"/>
      <c r="R3052" s="27"/>
    </row>
    <row r="3053" spans="1:18">
      <c r="A3053" s="28"/>
      <c r="B3053" s="29"/>
      <c r="C3053" s="29"/>
      <c r="D3053" s="29"/>
      <c r="E3053" s="29"/>
      <c r="H3053" s="27"/>
      <c r="K3053"/>
      <c r="P3053" s="27"/>
      <c r="Q3053" s="27"/>
      <c r="R3053" s="27"/>
    </row>
    <row r="3054" spans="1:18">
      <c r="A3054" s="28"/>
      <c r="B3054" s="29"/>
      <c r="C3054" s="29"/>
      <c r="D3054" s="29"/>
      <c r="E3054" s="29"/>
      <c r="H3054" s="27"/>
      <c r="K3054"/>
      <c r="P3054" s="27"/>
      <c r="Q3054" s="27"/>
      <c r="R3054" s="27"/>
    </row>
    <row r="3055" spans="1:18">
      <c r="A3055" s="28"/>
      <c r="B3055" s="29"/>
      <c r="C3055" s="29"/>
      <c r="D3055" s="29"/>
      <c r="E3055" s="29"/>
      <c r="H3055" s="27"/>
      <c r="K3055"/>
      <c r="P3055" s="27"/>
      <c r="Q3055" s="27"/>
      <c r="R3055" s="27"/>
    </row>
    <row r="3056" spans="1:18">
      <c r="A3056" s="28"/>
      <c r="B3056" s="29"/>
      <c r="C3056" s="29"/>
      <c r="D3056" s="29"/>
      <c r="E3056" s="29"/>
      <c r="H3056" s="27"/>
      <c r="K3056"/>
      <c r="P3056" s="27"/>
      <c r="Q3056" s="27"/>
      <c r="R3056" s="27"/>
    </row>
    <row r="3057" spans="1:18">
      <c r="A3057" s="28"/>
      <c r="B3057" s="29"/>
      <c r="C3057" s="29"/>
      <c r="D3057" s="29"/>
      <c r="E3057" s="29"/>
      <c r="H3057" s="27"/>
      <c r="K3057"/>
      <c r="P3057" s="27"/>
      <c r="Q3057" s="27"/>
      <c r="R3057" s="27"/>
    </row>
    <row r="3058" spans="1:18">
      <c r="A3058" s="28"/>
      <c r="B3058" s="29"/>
      <c r="C3058" s="29"/>
      <c r="D3058" s="29"/>
      <c r="E3058" s="29"/>
      <c r="H3058" s="27"/>
      <c r="K3058"/>
      <c r="P3058" s="27"/>
      <c r="Q3058" s="27"/>
      <c r="R3058" s="27"/>
    </row>
    <row r="3059" spans="1:18">
      <c r="A3059" s="28"/>
      <c r="B3059" s="29"/>
      <c r="C3059" s="29"/>
      <c r="D3059" s="29"/>
      <c r="E3059" s="29"/>
      <c r="H3059" s="27"/>
      <c r="K3059"/>
      <c r="P3059" s="27"/>
      <c r="Q3059" s="27"/>
      <c r="R3059" s="27"/>
    </row>
    <row r="3060" spans="1:18">
      <c r="A3060" s="28"/>
      <c r="B3060" s="29"/>
      <c r="C3060" s="29"/>
      <c r="D3060" s="29"/>
      <c r="E3060" s="29"/>
      <c r="H3060" s="27"/>
      <c r="K3060"/>
      <c r="P3060" s="27"/>
      <c r="Q3060" s="27"/>
      <c r="R3060" s="27"/>
    </row>
    <row r="3061" spans="1:18">
      <c r="A3061" s="28"/>
      <c r="B3061" s="29"/>
      <c r="C3061" s="29"/>
      <c r="D3061" s="29"/>
      <c r="E3061" s="29"/>
      <c r="H3061" s="27"/>
      <c r="K3061"/>
      <c r="P3061" s="27"/>
      <c r="Q3061" s="27"/>
      <c r="R3061" s="27"/>
    </row>
    <row r="3062" spans="1:18">
      <c r="A3062" s="28"/>
      <c r="B3062" s="29"/>
      <c r="C3062" s="29"/>
      <c r="D3062" s="29"/>
      <c r="E3062" s="29"/>
      <c r="H3062" s="27"/>
      <c r="K3062"/>
      <c r="P3062" s="27"/>
      <c r="Q3062" s="27"/>
      <c r="R3062" s="27"/>
    </row>
    <row r="3063" spans="1:18">
      <c r="A3063" s="28"/>
      <c r="B3063" s="29"/>
      <c r="C3063" s="29"/>
      <c r="D3063" s="29"/>
      <c r="E3063" s="29"/>
      <c r="H3063" s="27"/>
      <c r="K3063"/>
      <c r="P3063" s="27"/>
      <c r="Q3063" s="27"/>
      <c r="R3063" s="27"/>
    </row>
    <row r="3064" spans="1:18">
      <c r="A3064" s="28"/>
      <c r="B3064" s="29"/>
      <c r="C3064" s="29"/>
      <c r="D3064" s="29"/>
      <c r="E3064" s="29"/>
      <c r="H3064" s="27"/>
      <c r="K3064"/>
      <c r="P3064" s="27"/>
      <c r="Q3064" s="27"/>
      <c r="R3064" s="27"/>
    </row>
    <row r="3065" spans="1:18">
      <c r="A3065" s="28"/>
      <c r="B3065" s="29"/>
      <c r="C3065" s="29"/>
      <c r="D3065" s="29"/>
      <c r="E3065" s="29"/>
      <c r="H3065" s="27"/>
      <c r="K3065"/>
      <c r="P3065" s="27"/>
      <c r="Q3065" s="27"/>
      <c r="R3065" s="27"/>
    </row>
    <row r="3066" spans="1:18">
      <c r="A3066" s="28"/>
      <c r="B3066" s="29"/>
      <c r="C3066" s="29"/>
      <c r="D3066" s="29"/>
      <c r="E3066" s="29"/>
      <c r="H3066" s="27"/>
      <c r="K3066"/>
      <c r="P3066" s="27"/>
      <c r="Q3066" s="27"/>
      <c r="R3066" s="27"/>
    </row>
    <row r="3067" spans="1:18">
      <c r="A3067" s="28"/>
      <c r="B3067" s="29"/>
      <c r="C3067" s="29"/>
      <c r="D3067" s="29"/>
      <c r="E3067" s="29"/>
      <c r="H3067" s="27"/>
      <c r="K3067"/>
      <c r="P3067" s="27"/>
      <c r="Q3067" s="27"/>
      <c r="R3067" s="27"/>
    </row>
    <row r="3068" spans="1:18">
      <c r="A3068" s="28"/>
      <c r="B3068" s="29"/>
      <c r="C3068" s="29"/>
      <c r="D3068" s="29"/>
      <c r="E3068" s="29"/>
      <c r="H3068" s="27"/>
      <c r="K3068"/>
      <c r="P3068" s="27"/>
      <c r="Q3068" s="27"/>
      <c r="R3068" s="27"/>
    </row>
    <row r="3069" spans="1:18">
      <c r="A3069" s="28"/>
      <c r="B3069" s="29"/>
      <c r="C3069" s="29"/>
      <c r="D3069" s="29"/>
      <c r="E3069" s="29"/>
      <c r="H3069" s="27"/>
      <c r="K3069"/>
      <c r="P3069" s="27"/>
      <c r="Q3069" s="27"/>
      <c r="R3069" s="27"/>
    </row>
    <row r="3070" spans="1:18">
      <c r="A3070" s="28"/>
      <c r="B3070" s="29"/>
      <c r="C3070" s="29"/>
      <c r="D3070" s="29"/>
      <c r="E3070" s="29"/>
      <c r="H3070" s="27"/>
      <c r="K3070"/>
      <c r="P3070" s="27"/>
      <c r="Q3070" s="27"/>
      <c r="R3070" s="27"/>
    </row>
    <row r="3071" spans="1:18">
      <c r="A3071" s="28"/>
      <c r="B3071" s="29"/>
      <c r="C3071" s="29"/>
      <c r="D3071" s="29"/>
      <c r="E3071" s="29"/>
      <c r="H3071" s="27"/>
      <c r="K3071"/>
      <c r="P3071" s="27"/>
      <c r="Q3071" s="27"/>
      <c r="R3071" s="27"/>
    </row>
    <row r="3072" spans="1:18">
      <c r="A3072" s="28"/>
      <c r="B3072" s="29"/>
      <c r="C3072" s="29"/>
      <c r="D3072" s="29"/>
      <c r="E3072" s="29"/>
      <c r="H3072" s="27"/>
      <c r="K3072"/>
      <c r="P3072" s="27"/>
      <c r="Q3072" s="27"/>
      <c r="R3072" s="27"/>
    </row>
    <row r="3073" spans="1:18">
      <c r="A3073" s="28"/>
      <c r="B3073" s="29"/>
      <c r="C3073" s="29"/>
      <c r="D3073" s="29"/>
      <c r="E3073" s="29"/>
      <c r="H3073" s="27"/>
      <c r="K3073"/>
      <c r="P3073" s="27"/>
      <c r="Q3073" s="27"/>
      <c r="R3073" s="27"/>
    </row>
    <row r="3074" spans="1:18">
      <c r="A3074" s="28"/>
      <c r="B3074" s="29"/>
      <c r="C3074" s="29"/>
      <c r="D3074" s="29"/>
      <c r="E3074" s="29"/>
      <c r="H3074" s="27"/>
      <c r="K3074"/>
      <c r="P3074" s="27"/>
      <c r="Q3074" s="27"/>
      <c r="R3074" s="27"/>
    </row>
    <row r="3075" spans="1:18">
      <c r="A3075" s="28"/>
      <c r="B3075" s="29"/>
      <c r="C3075" s="29"/>
      <c r="D3075" s="29"/>
      <c r="E3075" s="29"/>
      <c r="H3075" s="27"/>
      <c r="K3075"/>
      <c r="P3075" s="27"/>
      <c r="Q3075" s="27"/>
      <c r="R3075" s="27"/>
    </row>
    <row r="3076" spans="1:18">
      <c r="A3076" s="28"/>
      <c r="B3076" s="29"/>
      <c r="C3076" s="29"/>
      <c r="D3076" s="29"/>
      <c r="E3076" s="29"/>
      <c r="H3076" s="27"/>
      <c r="K3076"/>
      <c r="P3076" s="27"/>
      <c r="Q3076" s="27"/>
      <c r="R3076" s="27"/>
    </row>
    <row r="3077" spans="1:18">
      <c r="A3077" s="28"/>
      <c r="B3077" s="29"/>
      <c r="C3077" s="29"/>
      <c r="D3077" s="29"/>
      <c r="E3077" s="29"/>
      <c r="H3077" s="27"/>
      <c r="K3077"/>
      <c r="P3077" s="27"/>
      <c r="Q3077" s="27"/>
      <c r="R3077" s="27"/>
    </row>
    <row r="3078" spans="1:18">
      <c r="A3078" s="28"/>
      <c r="B3078" s="29"/>
      <c r="C3078" s="29"/>
      <c r="D3078" s="29"/>
      <c r="E3078" s="29"/>
      <c r="H3078" s="27"/>
      <c r="K3078"/>
      <c r="P3078" s="27"/>
      <c r="Q3078" s="27"/>
      <c r="R3078" s="27"/>
    </row>
    <row r="3079" spans="1:18">
      <c r="A3079" s="28"/>
      <c r="B3079" s="29"/>
      <c r="C3079" s="29"/>
      <c r="D3079" s="29"/>
      <c r="E3079" s="29"/>
      <c r="H3079" s="27"/>
      <c r="K3079"/>
      <c r="P3079" s="27"/>
      <c r="Q3079" s="27"/>
      <c r="R3079" s="27"/>
    </row>
    <row r="3080" spans="1:18">
      <c r="A3080" s="28"/>
      <c r="B3080" s="29"/>
      <c r="C3080" s="29"/>
      <c r="D3080" s="29"/>
      <c r="E3080" s="29"/>
      <c r="H3080" s="27"/>
      <c r="K3080"/>
      <c r="P3080" s="27"/>
      <c r="Q3080" s="27"/>
      <c r="R3080" s="27"/>
    </row>
    <row r="3081" spans="1:18">
      <c r="A3081" s="28"/>
      <c r="B3081" s="29"/>
      <c r="C3081" s="29"/>
      <c r="D3081" s="29"/>
      <c r="E3081" s="29"/>
      <c r="H3081" s="27"/>
      <c r="K3081"/>
      <c r="P3081" s="27"/>
      <c r="Q3081" s="27"/>
      <c r="R3081" s="27"/>
    </row>
    <row r="3082" spans="1:18">
      <c r="A3082" s="28"/>
      <c r="B3082" s="29"/>
      <c r="C3082" s="29"/>
      <c r="D3082" s="29"/>
      <c r="E3082" s="29"/>
      <c r="H3082" s="27"/>
      <c r="K3082"/>
      <c r="P3082" s="27"/>
      <c r="Q3082" s="27"/>
      <c r="R3082" s="27"/>
    </row>
    <row r="3083" spans="1:18">
      <c r="A3083" s="28"/>
      <c r="B3083" s="29"/>
      <c r="C3083" s="29"/>
      <c r="D3083" s="29"/>
      <c r="E3083" s="29"/>
      <c r="H3083" s="27"/>
      <c r="K3083"/>
      <c r="P3083" s="27"/>
      <c r="Q3083" s="27"/>
      <c r="R3083" s="27"/>
    </row>
    <row r="3084" spans="1:18">
      <c r="A3084" s="28"/>
      <c r="B3084" s="29"/>
      <c r="C3084" s="29"/>
      <c r="D3084" s="29"/>
      <c r="E3084" s="29"/>
      <c r="H3084" s="27"/>
      <c r="K3084"/>
      <c r="P3084" s="27"/>
      <c r="Q3084" s="27"/>
      <c r="R3084" s="27"/>
    </row>
    <row r="3085" spans="1:18">
      <c r="A3085" s="28"/>
      <c r="B3085" s="29"/>
      <c r="C3085" s="29"/>
      <c r="D3085" s="29"/>
      <c r="E3085" s="29"/>
      <c r="H3085" s="27"/>
      <c r="K3085"/>
      <c r="P3085" s="27"/>
      <c r="Q3085" s="27"/>
      <c r="R3085" s="27"/>
    </row>
    <row r="3086" spans="1:18">
      <c r="A3086" s="28"/>
      <c r="B3086" s="29"/>
      <c r="C3086" s="29"/>
      <c r="D3086" s="29"/>
      <c r="E3086" s="29"/>
      <c r="H3086" s="27"/>
      <c r="K3086"/>
      <c r="P3086" s="27"/>
      <c r="Q3086" s="27"/>
      <c r="R3086" s="27"/>
    </row>
    <row r="3087" spans="1:18">
      <c r="A3087" s="28"/>
      <c r="B3087" s="29"/>
      <c r="C3087" s="29"/>
      <c r="D3087" s="29"/>
      <c r="E3087" s="29"/>
      <c r="H3087" s="27"/>
      <c r="K3087"/>
      <c r="P3087" s="27"/>
      <c r="Q3087" s="27"/>
      <c r="R3087" s="27"/>
    </row>
    <row r="3088" spans="1:18">
      <c r="A3088" s="28"/>
      <c r="B3088" s="29"/>
      <c r="C3088" s="29"/>
      <c r="D3088" s="29"/>
      <c r="E3088" s="29"/>
      <c r="H3088" s="27"/>
      <c r="K3088"/>
      <c r="P3088" s="27"/>
      <c r="Q3088" s="27"/>
      <c r="R3088" s="27"/>
    </row>
    <row r="3089" spans="1:18">
      <c r="A3089" s="28"/>
      <c r="B3089" s="29"/>
      <c r="C3089" s="29"/>
      <c r="D3089" s="29"/>
      <c r="E3089" s="29"/>
      <c r="H3089" s="27"/>
      <c r="K3089"/>
      <c r="P3089" s="27"/>
      <c r="Q3089" s="27"/>
      <c r="R3089" s="27"/>
    </row>
    <row r="3090" spans="1:18">
      <c r="A3090" s="28"/>
      <c r="B3090" s="29"/>
      <c r="C3090" s="29"/>
      <c r="D3090" s="29"/>
      <c r="E3090" s="29"/>
      <c r="H3090" s="27"/>
      <c r="K3090"/>
      <c r="P3090" s="27"/>
      <c r="Q3090" s="27"/>
      <c r="R3090" s="27"/>
    </row>
    <row r="3091" spans="1:18">
      <c r="A3091" s="28"/>
      <c r="B3091" s="29"/>
      <c r="C3091" s="29"/>
      <c r="D3091" s="29"/>
      <c r="E3091" s="29"/>
      <c r="H3091" s="27"/>
      <c r="K3091"/>
      <c r="P3091" s="27"/>
      <c r="Q3091" s="27"/>
      <c r="R3091" s="27"/>
    </row>
    <row r="3092" spans="1:18">
      <c r="A3092" s="28"/>
      <c r="B3092" s="29"/>
      <c r="C3092" s="29"/>
      <c r="D3092" s="29"/>
      <c r="E3092" s="29"/>
      <c r="H3092" s="27"/>
      <c r="K3092"/>
      <c r="P3092" s="27"/>
      <c r="Q3092" s="27"/>
      <c r="R3092" s="27"/>
    </row>
    <row r="3093" spans="1:18">
      <c r="A3093" s="28"/>
      <c r="B3093" s="29"/>
      <c r="C3093" s="29"/>
      <c r="D3093" s="29"/>
      <c r="E3093" s="29"/>
      <c r="H3093" s="27"/>
      <c r="K3093"/>
      <c r="P3093" s="27"/>
      <c r="Q3093" s="27"/>
      <c r="R3093" s="27"/>
    </row>
    <row r="3094" spans="1:18">
      <c r="A3094" s="28"/>
      <c r="B3094" s="29"/>
      <c r="C3094" s="29"/>
      <c r="D3094" s="29"/>
      <c r="E3094" s="29"/>
      <c r="H3094" s="27"/>
      <c r="K3094"/>
      <c r="P3094" s="27"/>
      <c r="Q3094" s="27"/>
      <c r="R3094" s="27"/>
    </row>
    <row r="3095" spans="1:18">
      <c r="A3095" s="28"/>
      <c r="B3095" s="29"/>
      <c r="C3095" s="29"/>
      <c r="D3095" s="29"/>
      <c r="E3095" s="29"/>
      <c r="H3095" s="27"/>
      <c r="K3095"/>
      <c r="P3095" s="27"/>
      <c r="Q3095" s="27"/>
      <c r="R3095" s="27"/>
    </row>
    <row r="3096" spans="1:18">
      <c r="A3096" s="28"/>
      <c r="B3096" s="29"/>
      <c r="C3096" s="29"/>
      <c r="D3096" s="29"/>
      <c r="E3096" s="29"/>
      <c r="H3096" s="27"/>
      <c r="K3096"/>
      <c r="P3096" s="27"/>
      <c r="Q3096" s="27"/>
      <c r="R3096" s="27"/>
    </row>
    <row r="3097" spans="1:18">
      <c r="A3097" s="28"/>
      <c r="B3097" s="29"/>
      <c r="C3097" s="29"/>
      <c r="D3097" s="29"/>
      <c r="E3097" s="29"/>
      <c r="H3097" s="27"/>
      <c r="K3097"/>
      <c r="P3097" s="27"/>
      <c r="Q3097" s="27"/>
      <c r="R3097" s="27"/>
    </row>
    <row r="3098" spans="1:18">
      <c r="A3098" s="28"/>
      <c r="B3098" s="29"/>
      <c r="C3098" s="29"/>
      <c r="D3098" s="29"/>
      <c r="E3098" s="29"/>
      <c r="H3098" s="27"/>
      <c r="K3098"/>
      <c r="P3098" s="27"/>
      <c r="Q3098" s="27"/>
      <c r="R3098" s="27"/>
    </row>
    <row r="3099" spans="1:18">
      <c r="A3099" s="28"/>
      <c r="B3099" s="29"/>
      <c r="C3099" s="29"/>
      <c r="D3099" s="29"/>
      <c r="E3099" s="29"/>
      <c r="H3099" s="27"/>
      <c r="K3099"/>
      <c r="P3099" s="27"/>
      <c r="Q3099" s="27"/>
      <c r="R3099" s="27"/>
    </row>
    <row r="3100" spans="1:18">
      <c r="A3100" s="28"/>
      <c r="B3100" s="29"/>
      <c r="C3100" s="29"/>
      <c r="D3100" s="29"/>
      <c r="E3100" s="29"/>
      <c r="H3100" s="27"/>
      <c r="K3100"/>
      <c r="P3100" s="27"/>
      <c r="Q3100" s="27"/>
      <c r="R3100" s="27"/>
    </row>
    <row r="3101" spans="1:18">
      <c r="A3101" s="28"/>
      <c r="B3101" s="29"/>
      <c r="C3101" s="29"/>
      <c r="D3101" s="29"/>
      <c r="E3101" s="29"/>
      <c r="H3101" s="27"/>
      <c r="K3101"/>
      <c r="P3101" s="27"/>
      <c r="Q3101" s="27"/>
      <c r="R3101" s="27"/>
    </row>
    <row r="3102" spans="1:18">
      <c r="A3102" s="28"/>
      <c r="B3102" s="29"/>
      <c r="C3102" s="29"/>
      <c r="D3102" s="29"/>
      <c r="E3102" s="29"/>
      <c r="H3102" s="27"/>
      <c r="K3102"/>
      <c r="P3102" s="27"/>
      <c r="Q3102" s="27"/>
      <c r="R3102" s="27"/>
    </row>
    <row r="3103" spans="1:18">
      <c r="A3103" s="28"/>
      <c r="B3103" s="29"/>
      <c r="C3103" s="29"/>
      <c r="D3103" s="29"/>
      <c r="E3103" s="29"/>
      <c r="H3103" s="27"/>
      <c r="K3103"/>
      <c r="P3103" s="27"/>
      <c r="Q3103" s="27"/>
      <c r="R3103" s="27"/>
    </row>
    <row r="3104" spans="1:18">
      <c r="A3104" s="28"/>
      <c r="B3104" s="29"/>
      <c r="C3104" s="29"/>
      <c r="D3104" s="29"/>
      <c r="E3104" s="29"/>
      <c r="H3104" s="27"/>
      <c r="K3104"/>
      <c r="P3104" s="27"/>
      <c r="Q3104" s="27"/>
      <c r="R3104" s="27"/>
    </row>
    <row r="3105" spans="1:18">
      <c r="A3105" s="28"/>
      <c r="B3105" s="29"/>
      <c r="C3105" s="29"/>
      <c r="D3105" s="29"/>
      <c r="E3105" s="29"/>
      <c r="H3105" s="27"/>
      <c r="K3105"/>
      <c r="P3105" s="27"/>
      <c r="Q3105" s="27"/>
      <c r="R3105" s="27"/>
    </row>
    <row r="3106" spans="1:18">
      <c r="A3106" s="28"/>
      <c r="B3106" s="29"/>
      <c r="C3106" s="29"/>
      <c r="D3106" s="29"/>
      <c r="E3106" s="29"/>
      <c r="H3106" s="27"/>
      <c r="K3106"/>
      <c r="P3106" s="27"/>
      <c r="Q3106" s="27"/>
      <c r="R3106" s="27"/>
    </row>
    <row r="3107" spans="1:18">
      <c r="A3107" s="28"/>
      <c r="B3107" s="29"/>
      <c r="C3107" s="29"/>
      <c r="D3107" s="29"/>
      <c r="E3107" s="29"/>
      <c r="H3107" s="27"/>
      <c r="K3107"/>
      <c r="P3107" s="27"/>
      <c r="Q3107" s="27"/>
      <c r="R3107" s="27"/>
    </row>
    <row r="3108" spans="1:18">
      <c r="A3108" s="28"/>
      <c r="B3108" s="29"/>
      <c r="C3108" s="29"/>
      <c r="D3108" s="29"/>
      <c r="E3108" s="29"/>
      <c r="H3108" s="27"/>
      <c r="K3108"/>
      <c r="P3108" s="27"/>
      <c r="Q3108" s="27"/>
      <c r="R3108" s="27"/>
    </row>
    <row r="3109" spans="1:18">
      <c r="A3109" s="28"/>
      <c r="B3109" s="29"/>
      <c r="C3109" s="29"/>
      <c r="D3109" s="29"/>
      <c r="E3109" s="29"/>
      <c r="H3109" s="27"/>
      <c r="K3109"/>
      <c r="P3109" s="27"/>
      <c r="Q3109" s="27"/>
      <c r="R3109" s="27"/>
    </row>
    <row r="3110" spans="1:18">
      <c r="A3110" s="28"/>
      <c r="B3110" s="29"/>
      <c r="C3110" s="29"/>
      <c r="D3110" s="29"/>
      <c r="E3110" s="29"/>
      <c r="H3110" s="27"/>
      <c r="K3110"/>
      <c r="P3110" s="27"/>
      <c r="Q3110" s="27"/>
      <c r="R3110" s="27"/>
    </row>
    <row r="3111" spans="1:18">
      <c r="A3111" s="28"/>
      <c r="B3111" s="29"/>
      <c r="C3111" s="29"/>
      <c r="D3111" s="29"/>
      <c r="E3111" s="29"/>
      <c r="H3111" s="27"/>
      <c r="K3111"/>
      <c r="P3111" s="27"/>
      <c r="Q3111" s="27"/>
      <c r="R3111" s="27"/>
    </row>
    <row r="3112" spans="1:18">
      <c r="A3112" s="28"/>
      <c r="B3112" s="29"/>
      <c r="C3112" s="29"/>
      <c r="D3112" s="29"/>
      <c r="E3112" s="29"/>
      <c r="H3112" s="27"/>
      <c r="K3112"/>
      <c r="P3112" s="27"/>
      <c r="Q3112" s="27"/>
      <c r="R3112" s="27"/>
    </row>
    <row r="3113" spans="1:18">
      <c r="A3113" s="28"/>
      <c r="B3113" s="29"/>
      <c r="C3113" s="29"/>
      <c r="D3113" s="29"/>
      <c r="E3113" s="29"/>
      <c r="H3113" s="27"/>
      <c r="K3113"/>
      <c r="P3113" s="27"/>
      <c r="Q3113" s="27"/>
      <c r="R3113" s="27"/>
    </row>
    <row r="3114" spans="1:18">
      <c r="A3114" s="28"/>
      <c r="B3114" s="29"/>
      <c r="C3114" s="29"/>
      <c r="D3114" s="29"/>
      <c r="E3114" s="29"/>
      <c r="H3114" s="27"/>
      <c r="K3114"/>
      <c r="P3114" s="27"/>
      <c r="Q3114" s="27"/>
      <c r="R3114" s="27"/>
    </row>
    <row r="3115" spans="1:18">
      <c r="A3115" s="28"/>
      <c r="B3115" s="29"/>
      <c r="C3115" s="29"/>
      <c r="D3115" s="29"/>
      <c r="E3115" s="29"/>
      <c r="H3115" s="27"/>
      <c r="K3115"/>
      <c r="P3115" s="27"/>
      <c r="Q3115" s="27"/>
      <c r="R3115" s="27"/>
    </row>
    <row r="3116" spans="1:18">
      <c r="A3116" s="28"/>
      <c r="B3116" s="29"/>
      <c r="C3116" s="29"/>
      <c r="D3116" s="29"/>
      <c r="E3116" s="29"/>
      <c r="H3116" s="27"/>
      <c r="K3116"/>
      <c r="P3116" s="27"/>
      <c r="Q3116" s="27"/>
      <c r="R3116" s="27"/>
    </row>
    <row r="3117" spans="1:18">
      <c r="A3117" s="28"/>
      <c r="B3117" s="29"/>
      <c r="C3117" s="29"/>
      <c r="D3117" s="29"/>
      <c r="E3117" s="29"/>
      <c r="H3117" s="27"/>
      <c r="K3117"/>
      <c r="P3117" s="27"/>
      <c r="Q3117" s="27"/>
      <c r="R3117" s="27"/>
    </row>
    <row r="3118" spans="1:18">
      <c r="A3118" s="28"/>
      <c r="B3118" s="29"/>
      <c r="C3118" s="29"/>
      <c r="D3118" s="29"/>
      <c r="E3118" s="29"/>
      <c r="H3118" s="27"/>
      <c r="K3118"/>
      <c r="P3118" s="27"/>
      <c r="Q3118" s="27"/>
      <c r="R3118" s="27"/>
    </row>
    <row r="3119" spans="1:18">
      <c r="A3119" s="28"/>
      <c r="B3119" s="29"/>
      <c r="C3119" s="29"/>
      <c r="D3119" s="29"/>
      <c r="E3119" s="29"/>
      <c r="H3119" s="27"/>
      <c r="K3119"/>
      <c r="P3119" s="27"/>
      <c r="Q3119" s="27"/>
      <c r="R3119" s="27"/>
    </row>
    <row r="3120" spans="1:18">
      <c r="A3120" s="28"/>
      <c r="B3120" s="29"/>
      <c r="C3120" s="29"/>
      <c r="D3120" s="29"/>
      <c r="E3120" s="29"/>
      <c r="H3120" s="27"/>
      <c r="K3120"/>
      <c r="P3120" s="27"/>
      <c r="Q3120" s="27"/>
      <c r="R3120" s="27"/>
    </row>
    <row r="3121" spans="1:18">
      <c r="A3121" s="28"/>
      <c r="B3121" s="29"/>
      <c r="C3121" s="29"/>
      <c r="D3121" s="29"/>
      <c r="E3121" s="29"/>
      <c r="H3121" s="27"/>
      <c r="K3121"/>
      <c r="P3121" s="27"/>
      <c r="Q3121" s="27"/>
      <c r="R3121" s="27"/>
    </row>
    <row r="3122" spans="1:18">
      <c r="A3122" s="28"/>
      <c r="B3122" s="29"/>
      <c r="C3122" s="29"/>
      <c r="D3122" s="29"/>
      <c r="E3122" s="29"/>
      <c r="H3122" s="27"/>
      <c r="K3122"/>
      <c r="P3122" s="27"/>
      <c r="Q3122" s="27"/>
      <c r="R3122" s="27"/>
    </row>
    <row r="3123" spans="1:18">
      <c r="A3123" s="28"/>
      <c r="B3123" s="29"/>
      <c r="C3123" s="29"/>
      <c r="D3123" s="29"/>
      <c r="E3123" s="29"/>
      <c r="H3123" s="27"/>
      <c r="K3123"/>
      <c r="P3123" s="27"/>
      <c r="Q3123" s="27"/>
      <c r="R3123" s="27"/>
    </row>
    <row r="3124" spans="1:18">
      <c r="A3124" s="28"/>
      <c r="B3124" s="29"/>
      <c r="C3124" s="29"/>
      <c r="D3124" s="29"/>
      <c r="E3124" s="29"/>
      <c r="H3124" s="27"/>
      <c r="K3124"/>
      <c r="P3124" s="27"/>
      <c r="Q3124" s="27"/>
      <c r="R3124" s="27"/>
    </row>
    <row r="3125" spans="1:18">
      <c r="A3125" s="28"/>
      <c r="B3125" s="29"/>
      <c r="C3125" s="29"/>
      <c r="D3125" s="29"/>
      <c r="E3125" s="29"/>
      <c r="H3125" s="27"/>
      <c r="K3125"/>
      <c r="P3125" s="27"/>
      <c r="Q3125" s="27"/>
      <c r="R3125" s="27"/>
    </row>
    <row r="3126" spans="1:18">
      <c r="A3126" s="28"/>
      <c r="B3126" s="29"/>
      <c r="C3126" s="29"/>
      <c r="D3126" s="29"/>
      <c r="E3126" s="29"/>
      <c r="H3126" s="27"/>
      <c r="K3126"/>
      <c r="P3126" s="27"/>
      <c r="Q3126" s="27"/>
      <c r="R3126" s="27"/>
    </row>
    <row r="3127" spans="1:18">
      <c r="A3127" s="28"/>
      <c r="B3127" s="29"/>
      <c r="C3127" s="29"/>
      <c r="D3127" s="29"/>
      <c r="E3127" s="29"/>
      <c r="H3127" s="27"/>
      <c r="K3127"/>
      <c r="P3127" s="27"/>
      <c r="Q3127" s="27"/>
      <c r="R3127" s="27"/>
    </row>
    <row r="3128" spans="1:18">
      <c r="A3128" s="28"/>
      <c r="B3128" s="29"/>
      <c r="C3128" s="29"/>
      <c r="D3128" s="29"/>
      <c r="E3128" s="29"/>
      <c r="H3128" s="27"/>
      <c r="K3128"/>
      <c r="P3128" s="27"/>
      <c r="Q3128" s="27"/>
      <c r="R3128" s="27"/>
    </row>
    <row r="3129" spans="1:18">
      <c r="A3129" s="28"/>
      <c r="B3129" s="29"/>
      <c r="C3129" s="29"/>
      <c r="D3129" s="29"/>
      <c r="E3129" s="29"/>
      <c r="H3129" s="27"/>
      <c r="K3129"/>
      <c r="P3129" s="27"/>
      <c r="Q3129" s="27"/>
      <c r="R3129" s="27"/>
    </row>
    <row r="3130" spans="1:18">
      <c r="A3130" s="28"/>
      <c r="B3130" s="29"/>
      <c r="C3130" s="29"/>
      <c r="D3130" s="29"/>
      <c r="E3130" s="29"/>
      <c r="H3130" s="27"/>
      <c r="K3130"/>
      <c r="P3130" s="27"/>
      <c r="Q3130" s="27"/>
      <c r="R3130" s="27"/>
    </row>
    <row r="3131" spans="1:18">
      <c r="A3131" s="28"/>
      <c r="B3131" s="29"/>
      <c r="C3131" s="29"/>
      <c r="D3131" s="29"/>
      <c r="E3131" s="29"/>
      <c r="H3131" s="27"/>
      <c r="K3131"/>
      <c r="P3131" s="27"/>
      <c r="Q3131" s="27"/>
      <c r="R3131" s="27"/>
    </row>
    <row r="3132" spans="1:18">
      <c r="A3132" s="28"/>
      <c r="B3132" s="29"/>
      <c r="C3132" s="29"/>
      <c r="D3132" s="29"/>
      <c r="E3132" s="29"/>
      <c r="H3132" s="27"/>
      <c r="K3132"/>
      <c r="P3132" s="27"/>
      <c r="Q3132" s="27"/>
      <c r="R3132" s="27"/>
    </row>
    <row r="3133" spans="1:18">
      <c r="A3133" s="28"/>
      <c r="B3133" s="29"/>
      <c r="C3133" s="29"/>
      <c r="D3133" s="29"/>
      <c r="E3133" s="29"/>
      <c r="H3133" s="27"/>
      <c r="K3133"/>
      <c r="P3133" s="27"/>
      <c r="Q3133" s="27"/>
      <c r="R3133" s="27"/>
    </row>
    <row r="3134" spans="1:18">
      <c r="A3134" s="28"/>
      <c r="B3134" s="29"/>
      <c r="C3134" s="29"/>
      <c r="D3134" s="29"/>
      <c r="E3134" s="29"/>
      <c r="H3134" s="27"/>
      <c r="K3134"/>
      <c r="P3134" s="27"/>
      <c r="Q3134" s="27"/>
      <c r="R3134" s="27"/>
    </row>
    <row r="3135" spans="1:18">
      <c r="A3135" s="28"/>
      <c r="B3135" s="29"/>
      <c r="C3135" s="29"/>
      <c r="D3135" s="29"/>
      <c r="E3135" s="29"/>
      <c r="H3135" s="27"/>
      <c r="K3135"/>
      <c r="P3135" s="27"/>
      <c r="Q3135" s="27"/>
      <c r="R3135" s="27"/>
    </row>
    <row r="3136" spans="1:18">
      <c r="A3136" s="28"/>
      <c r="B3136" s="29"/>
      <c r="C3136" s="29"/>
      <c r="D3136" s="29"/>
      <c r="E3136" s="29"/>
      <c r="H3136" s="27"/>
      <c r="K3136"/>
      <c r="P3136" s="27"/>
      <c r="Q3136" s="27"/>
      <c r="R3136" s="27"/>
    </row>
    <row r="3137" spans="1:18">
      <c r="A3137" s="28"/>
      <c r="B3137" s="29"/>
      <c r="C3137" s="29"/>
      <c r="D3137" s="29"/>
      <c r="E3137" s="29"/>
      <c r="H3137" s="27"/>
      <c r="K3137"/>
      <c r="P3137" s="27"/>
      <c r="Q3137" s="27"/>
      <c r="R3137" s="27"/>
    </row>
    <row r="3138" spans="1:18">
      <c r="A3138" s="28"/>
      <c r="B3138" s="29"/>
      <c r="C3138" s="29"/>
      <c r="D3138" s="29"/>
      <c r="E3138" s="29"/>
      <c r="H3138" s="27"/>
      <c r="K3138"/>
      <c r="P3138" s="27"/>
      <c r="Q3138" s="27"/>
      <c r="R3138" s="27"/>
    </row>
    <row r="3139" spans="1:18">
      <c r="A3139" s="28"/>
      <c r="B3139" s="29"/>
      <c r="C3139" s="29"/>
      <c r="D3139" s="29"/>
      <c r="E3139" s="29"/>
      <c r="H3139" s="27"/>
      <c r="K3139"/>
      <c r="P3139" s="27"/>
      <c r="Q3139" s="27"/>
      <c r="R3139" s="27"/>
    </row>
    <row r="3140" spans="1:18">
      <c r="A3140" s="28"/>
      <c r="B3140" s="29"/>
      <c r="C3140" s="29"/>
      <c r="D3140" s="29"/>
      <c r="E3140" s="29"/>
      <c r="H3140" s="27"/>
      <c r="K3140"/>
      <c r="P3140" s="27"/>
      <c r="Q3140" s="27"/>
      <c r="R3140" s="27"/>
    </row>
    <row r="3141" spans="1:18">
      <c r="A3141" s="28"/>
      <c r="B3141" s="29"/>
      <c r="C3141" s="29"/>
      <c r="D3141" s="29"/>
      <c r="E3141" s="29"/>
      <c r="H3141" s="27"/>
      <c r="K3141"/>
      <c r="P3141" s="27"/>
      <c r="Q3141" s="27"/>
      <c r="R3141" s="27"/>
    </row>
    <row r="3142" spans="1:18">
      <c r="A3142" s="28"/>
      <c r="B3142" s="29"/>
      <c r="C3142" s="29"/>
      <c r="D3142" s="29"/>
      <c r="E3142" s="29"/>
      <c r="H3142" s="27"/>
      <c r="K3142"/>
      <c r="P3142" s="27"/>
      <c r="Q3142" s="27"/>
      <c r="R3142" s="27"/>
    </row>
    <row r="3143" spans="1:18">
      <c r="A3143" s="28"/>
      <c r="B3143" s="29"/>
      <c r="C3143" s="29"/>
      <c r="D3143" s="29"/>
      <c r="E3143" s="29"/>
      <c r="H3143" s="27"/>
      <c r="K3143"/>
      <c r="P3143" s="27"/>
      <c r="Q3143" s="27"/>
      <c r="R3143" s="27"/>
    </row>
    <row r="3144" spans="1:18">
      <c r="A3144" s="28"/>
      <c r="B3144" s="29"/>
      <c r="C3144" s="29"/>
      <c r="D3144" s="29"/>
      <c r="E3144" s="29"/>
      <c r="H3144" s="27"/>
      <c r="K3144"/>
      <c r="P3144" s="27"/>
      <c r="Q3144" s="27"/>
      <c r="R3144" s="27"/>
    </row>
    <row r="3145" spans="1:18">
      <c r="A3145" s="28"/>
      <c r="B3145" s="29"/>
      <c r="C3145" s="29"/>
      <c r="D3145" s="29"/>
      <c r="E3145" s="29"/>
      <c r="H3145" s="27"/>
      <c r="K3145"/>
      <c r="P3145" s="27"/>
      <c r="Q3145" s="27"/>
      <c r="R3145" s="27"/>
    </row>
    <row r="3146" spans="1:18">
      <c r="A3146" s="28"/>
      <c r="B3146" s="29"/>
      <c r="C3146" s="29"/>
      <c r="D3146" s="29"/>
      <c r="E3146" s="29"/>
      <c r="H3146" s="27"/>
      <c r="K3146"/>
      <c r="P3146" s="27"/>
      <c r="Q3146" s="27"/>
      <c r="R3146" s="27"/>
    </row>
    <row r="3147" spans="1:18">
      <c r="A3147" s="28"/>
      <c r="B3147" s="29"/>
      <c r="C3147" s="29"/>
      <c r="D3147" s="29"/>
      <c r="E3147" s="29"/>
      <c r="H3147" s="27"/>
      <c r="K3147"/>
      <c r="P3147" s="27"/>
      <c r="Q3147" s="27"/>
      <c r="R3147" s="27"/>
    </row>
    <row r="3148" spans="1:18">
      <c r="A3148" s="28"/>
      <c r="B3148" s="29"/>
      <c r="C3148" s="29"/>
      <c r="D3148" s="29"/>
      <c r="E3148" s="29"/>
      <c r="H3148" s="27"/>
      <c r="K3148"/>
      <c r="P3148" s="27"/>
      <c r="Q3148" s="27"/>
      <c r="R3148" s="27"/>
    </row>
    <row r="3149" spans="1:18">
      <c r="A3149" s="28"/>
      <c r="B3149" s="29"/>
      <c r="C3149" s="29"/>
      <c r="D3149" s="29"/>
      <c r="E3149" s="29"/>
      <c r="H3149" s="27"/>
      <c r="K3149"/>
      <c r="P3149" s="27"/>
      <c r="Q3149" s="27"/>
      <c r="R3149" s="27"/>
    </row>
    <row r="3150" spans="1:18">
      <c r="A3150" s="28"/>
      <c r="B3150" s="29"/>
      <c r="C3150" s="29"/>
      <c r="D3150" s="29"/>
      <c r="E3150" s="29"/>
      <c r="H3150" s="27"/>
      <c r="K3150"/>
      <c r="P3150" s="27"/>
      <c r="Q3150" s="27"/>
      <c r="R3150" s="27"/>
    </row>
    <row r="3151" spans="1:18">
      <c r="A3151" s="28"/>
      <c r="B3151" s="29"/>
      <c r="C3151" s="29"/>
      <c r="D3151" s="29"/>
      <c r="E3151" s="29"/>
      <c r="H3151" s="27"/>
      <c r="K3151"/>
      <c r="P3151" s="27"/>
      <c r="Q3151" s="27"/>
      <c r="R3151" s="27"/>
    </row>
    <row r="3152" spans="1:18">
      <c r="A3152" s="28"/>
      <c r="B3152" s="29"/>
      <c r="C3152" s="29"/>
      <c r="D3152" s="29"/>
      <c r="E3152" s="29"/>
      <c r="H3152" s="27"/>
      <c r="K3152"/>
      <c r="P3152" s="27"/>
      <c r="Q3152" s="27"/>
      <c r="R3152" s="27"/>
    </row>
    <row r="3153" spans="1:18">
      <c r="A3153" s="28"/>
      <c r="B3153" s="29"/>
      <c r="C3153" s="29"/>
      <c r="D3153" s="29"/>
      <c r="E3153" s="29"/>
      <c r="H3153" s="27"/>
      <c r="K3153"/>
      <c r="P3153" s="27"/>
      <c r="Q3153" s="27"/>
      <c r="R3153" s="27"/>
    </row>
    <row r="3154" spans="1:18">
      <c r="A3154" s="28"/>
      <c r="B3154" s="29"/>
      <c r="C3154" s="29"/>
      <c r="D3154" s="29"/>
      <c r="E3154" s="29"/>
      <c r="H3154" s="27"/>
      <c r="K3154"/>
      <c r="P3154" s="27"/>
      <c r="Q3154" s="27"/>
      <c r="R3154" s="27"/>
    </row>
    <row r="3155" spans="1:18">
      <c r="A3155" s="28"/>
      <c r="B3155" s="29"/>
      <c r="C3155" s="29"/>
      <c r="D3155" s="29"/>
      <c r="E3155" s="29"/>
      <c r="H3155" s="27"/>
      <c r="K3155"/>
      <c r="P3155" s="27"/>
      <c r="Q3155" s="27"/>
      <c r="R3155" s="27"/>
    </row>
    <row r="3156" spans="1:18">
      <c r="A3156" s="28"/>
      <c r="B3156" s="29"/>
      <c r="C3156" s="29"/>
      <c r="D3156" s="29"/>
      <c r="E3156" s="29"/>
      <c r="H3156" s="27"/>
      <c r="K3156"/>
      <c r="P3156" s="27"/>
      <c r="Q3156" s="27"/>
      <c r="R3156" s="27"/>
    </row>
    <row r="3157" spans="1:18">
      <c r="A3157" s="28"/>
      <c r="B3157" s="29"/>
      <c r="C3157" s="29"/>
      <c r="D3157" s="29"/>
      <c r="E3157" s="29"/>
      <c r="H3157" s="27"/>
      <c r="K3157"/>
      <c r="P3157" s="27"/>
      <c r="Q3157" s="27"/>
      <c r="R3157" s="27"/>
    </row>
    <row r="3158" spans="1:18">
      <c r="A3158" s="28"/>
      <c r="B3158" s="29"/>
      <c r="C3158" s="29"/>
      <c r="D3158" s="29"/>
      <c r="E3158" s="29"/>
      <c r="H3158" s="27"/>
      <c r="K3158"/>
      <c r="P3158" s="27"/>
      <c r="Q3158" s="27"/>
      <c r="R3158" s="27"/>
    </row>
    <row r="3159" spans="1:18">
      <c r="A3159" s="28"/>
      <c r="B3159" s="29"/>
      <c r="C3159" s="29"/>
      <c r="D3159" s="29"/>
      <c r="E3159" s="29"/>
      <c r="H3159" s="27"/>
      <c r="K3159"/>
      <c r="P3159" s="27"/>
      <c r="Q3159" s="27"/>
      <c r="R3159" s="27"/>
    </row>
    <row r="3160" spans="1:18">
      <c r="A3160" s="28"/>
      <c r="B3160" s="29"/>
      <c r="C3160" s="29"/>
      <c r="D3160" s="29"/>
      <c r="E3160" s="29"/>
      <c r="H3160" s="27"/>
      <c r="K3160"/>
      <c r="P3160" s="27"/>
      <c r="Q3160" s="27"/>
      <c r="R3160" s="27"/>
    </row>
    <row r="3161" spans="1:18">
      <c r="A3161" s="28"/>
      <c r="B3161" s="29"/>
      <c r="C3161" s="29"/>
      <c r="D3161" s="29"/>
      <c r="E3161" s="29"/>
      <c r="H3161" s="27"/>
      <c r="K3161"/>
      <c r="P3161" s="27"/>
      <c r="Q3161" s="27"/>
      <c r="R3161" s="27"/>
    </row>
    <row r="3162" spans="1:18">
      <c r="A3162" s="28"/>
      <c r="B3162" s="29"/>
      <c r="C3162" s="29"/>
      <c r="D3162" s="29"/>
      <c r="E3162" s="29"/>
      <c r="H3162" s="27"/>
      <c r="K3162"/>
      <c r="P3162" s="27"/>
      <c r="Q3162" s="27"/>
      <c r="R3162" s="27"/>
    </row>
    <row r="3163" spans="1:18">
      <c r="A3163" s="28"/>
      <c r="B3163" s="29"/>
      <c r="C3163" s="29"/>
      <c r="D3163" s="29"/>
      <c r="E3163" s="29"/>
      <c r="H3163" s="27"/>
      <c r="K3163"/>
      <c r="P3163" s="27"/>
      <c r="Q3163" s="27"/>
      <c r="R3163" s="27"/>
    </row>
    <row r="3164" spans="1:18">
      <c r="A3164" s="28"/>
      <c r="B3164" s="29"/>
      <c r="C3164" s="29"/>
      <c r="D3164" s="29"/>
      <c r="E3164" s="29"/>
      <c r="H3164" s="27"/>
      <c r="K3164"/>
      <c r="P3164" s="27"/>
      <c r="Q3164" s="27"/>
      <c r="R3164" s="27"/>
    </row>
    <row r="3165" spans="1:18">
      <c r="A3165" s="28"/>
      <c r="B3165" s="29"/>
      <c r="C3165" s="29"/>
      <c r="D3165" s="29"/>
      <c r="E3165" s="29"/>
      <c r="H3165" s="27"/>
      <c r="K3165"/>
      <c r="P3165" s="27"/>
      <c r="Q3165" s="27"/>
      <c r="R3165" s="27"/>
    </row>
    <row r="3166" spans="1:18">
      <c r="A3166" s="28"/>
      <c r="B3166" s="29"/>
      <c r="C3166" s="29"/>
      <c r="D3166" s="29"/>
      <c r="E3166" s="29"/>
      <c r="H3166" s="27"/>
      <c r="K3166"/>
      <c r="P3166" s="27"/>
      <c r="Q3166" s="27"/>
      <c r="R3166" s="27"/>
    </row>
    <row r="3167" spans="1:18">
      <c r="A3167" s="28"/>
      <c r="B3167" s="29"/>
      <c r="C3167" s="29"/>
      <c r="D3167" s="29"/>
      <c r="E3167" s="29"/>
      <c r="H3167" s="27"/>
      <c r="K3167"/>
      <c r="P3167" s="27"/>
      <c r="Q3167" s="27"/>
      <c r="R3167" s="27"/>
    </row>
    <row r="3168" spans="1:18">
      <c r="A3168" s="28"/>
      <c r="B3168" s="29"/>
      <c r="C3168" s="29"/>
      <c r="D3168" s="29"/>
      <c r="E3168" s="29"/>
      <c r="H3168" s="27"/>
      <c r="K3168"/>
      <c r="P3168" s="27"/>
      <c r="Q3168" s="27"/>
      <c r="R3168" s="27"/>
    </row>
    <row r="3169" spans="1:18">
      <c r="A3169" s="28"/>
      <c r="B3169" s="29"/>
      <c r="C3169" s="29"/>
      <c r="D3169" s="29"/>
      <c r="E3169" s="29"/>
      <c r="H3169" s="27"/>
      <c r="K3169"/>
      <c r="P3169" s="27"/>
      <c r="Q3169" s="27"/>
      <c r="R3169" s="27"/>
    </row>
    <row r="3170" spans="1:18">
      <c r="A3170" s="28"/>
      <c r="B3170" s="29"/>
      <c r="C3170" s="29"/>
      <c r="D3170" s="29"/>
      <c r="E3170" s="29"/>
      <c r="H3170" s="27"/>
      <c r="K3170"/>
      <c r="P3170" s="27"/>
      <c r="Q3170" s="27"/>
      <c r="R3170" s="27"/>
    </row>
    <row r="3171" spans="1:18">
      <c r="A3171" s="28"/>
      <c r="B3171" s="29"/>
      <c r="C3171" s="29"/>
      <c r="D3171" s="29"/>
      <c r="E3171" s="29"/>
      <c r="H3171" s="27"/>
      <c r="K3171"/>
      <c r="P3171" s="27"/>
      <c r="Q3171" s="27"/>
      <c r="R3171" s="27"/>
    </row>
    <row r="3172" spans="1:18">
      <c r="A3172" s="28"/>
      <c r="B3172" s="29"/>
      <c r="C3172" s="29"/>
      <c r="D3172" s="29"/>
      <c r="E3172" s="29"/>
      <c r="H3172" s="27"/>
      <c r="K3172"/>
      <c r="P3172" s="27"/>
      <c r="Q3172" s="27"/>
      <c r="R3172" s="27"/>
    </row>
    <row r="3173" spans="1:18">
      <c r="A3173" s="28"/>
      <c r="B3173" s="29"/>
      <c r="C3173" s="29"/>
      <c r="D3173" s="29"/>
      <c r="E3173" s="29"/>
      <c r="H3173" s="27"/>
      <c r="K3173"/>
      <c r="P3173" s="27"/>
      <c r="Q3173" s="27"/>
      <c r="R3173" s="27"/>
    </row>
    <row r="3174" spans="1:18">
      <c r="A3174" s="28"/>
      <c r="B3174" s="29"/>
      <c r="C3174" s="29"/>
      <c r="D3174" s="29"/>
      <c r="E3174" s="29"/>
      <c r="H3174" s="27"/>
      <c r="K3174"/>
      <c r="P3174" s="27"/>
      <c r="Q3174" s="27"/>
      <c r="R3174" s="27"/>
    </row>
    <row r="3175" spans="1:18">
      <c r="A3175" s="28"/>
      <c r="B3175" s="29"/>
      <c r="C3175" s="29"/>
      <c r="D3175" s="29"/>
      <c r="E3175" s="29"/>
      <c r="H3175" s="27"/>
      <c r="K3175"/>
      <c r="P3175" s="27"/>
      <c r="Q3175" s="27"/>
      <c r="R3175" s="27"/>
    </row>
    <row r="3176" spans="1:18">
      <c r="A3176" s="28"/>
      <c r="B3176" s="29"/>
      <c r="C3176" s="29"/>
      <c r="D3176" s="29"/>
      <c r="E3176" s="29"/>
      <c r="H3176" s="27"/>
      <c r="K3176"/>
      <c r="P3176" s="27"/>
      <c r="Q3176" s="27"/>
      <c r="R3176" s="27"/>
    </row>
    <row r="3177" spans="1:18">
      <c r="A3177" s="28"/>
      <c r="B3177" s="29"/>
      <c r="C3177" s="29"/>
      <c r="D3177" s="29"/>
      <c r="E3177" s="29"/>
      <c r="H3177" s="27"/>
      <c r="K3177"/>
      <c r="P3177" s="27"/>
      <c r="Q3177" s="27"/>
      <c r="R3177" s="27"/>
    </row>
    <row r="3178" spans="1:18">
      <c r="A3178" s="28"/>
      <c r="B3178" s="29"/>
      <c r="C3178" s="29"/>
      <c r="D3178" s="29"/>
      <c r="E3178" s="29"/>
      <c r="H3178" s="27"/>
      <c r="K3178"/>
      <c r="P3178" s="27"/>
      <c r="Q3178" s="27"/>
      <c r="R3178" s="27"/>
    </row>
    <row r="3179" spans="1:18">
      <c r="A3179" s="28"/>
      <c r="B3179" s="29"/>
      <c r="C3179" s="29"/>
      <c r="D3179" s="29"/>
      <c r="E3179" s="29"/>
      <c r="H3179" s="27"/>
      <c r="K3179"/>
      <c r="P3179" s="27"/>
      <c r="Q3179" s="27"/>
      <c r="R3179" s="27"/>
    </row>
    <row r="3180" spans="1:18">
      <c r="A3180" s="28"/>
      <c r="B3180" s="29"/>
      <c r="C3180" s="29"/>
      <c r="D3180" s="29"/>
      <c r="E3180" s="29"/>
      <c r="H3180" s="27"/>
      <c r="K3180"/>
      <c r="P3180" s="27"/>
      <c r="Q3180" s="27"/>
      <c r="R3180" s="27"/>
    </row>
    <row r="3181" spans="1:18">
      <c r="A3181" s="28"/>
      <c r="B3181" s="29"/>
      <c r="C3181" s="29"/>
      <c r="D3181" s="29"/>
      <c r="E3181" s="29"/>
      <c r="H3181" s="27"/>
      <c r="K3181"/>
      <c r="P3181" s="27"/>
      <c r="Q3181" s="27"/>
      <c r="R3181" s="27"/>
    </row>
    <row r="3182" spans="1:18">
      <c r="A3182" s="28"/>
      <c r="B3182" s="29"/>
      <c r="C3182" s="29"/>
      <c r="D3182" s="29"/>
      <c r="E3182" s="29"/>
      <c r="H3182" s="27"/>
      <c r="K3182"/>
      <c r="P3182" s="27"/>
      <c r="Q3182" s="27"/>
      <c r="R3182" s="27"/>
    </row>
    <row r="3183" spans="1:18">
      <c r="A3183" s="28"/>
      <c r="B3183" s="29"/>
      <c r="C3183" s="29"/>
      <c r="D3183" s="29"/>
      <c r="E3183" s="29"/>
      <c r="H3183" s="27"/>
      <c r="K3183"/>
      <c r="P3183" s="27"/>
      <c r="Q3183" s="27"/>
      <c r="R3183" s="27"/>
    </row>
    <row r="3184" spans="1:18">
      <c r="A3184" s="28"/>
      <c r="B3184" s="29"/>
      <c r="C3184" s="29"/>
      <c r="D3184" s="29"/>
      <c r="E3184" s="29"/>
      <c r="H3184" s="27"/>
      <c r="K3184"/>
      <c r="P3184" s="27"/>
      <c r="Q3184" s="27"/>
      <c r="R3184" s="27"/>
    </row>
    <row r="3185" spans="1:18">
      <c r="A3185" s="28"/>
      <c r="B3185" s="29"/>
      <c r="C3185" s="29"/>
      <c r="D3185" s="29"/>
      <c r="E3185" s="29"/>
      <c r="H3185" s="27"/>
      <c r="K3185"/>
      <c r="P3185" s="27"/>
      <c r="Q3185" s="27"/>
      <c r="R3185" s="27"/>
    </row>
    <row r="3186" spans="1:18">
      <c r="A3186" s="28"/>
      <c r="B3186" s="29"/>
      <c r="C3186" s="29"/>
      <c r="D3186" s="29"/>
      <c r="E3186" s="29"/>
      <c r="H3186" s="27"/>
      <c r="K3186"/>
      <c r="P3186" s="27"/>
      <c r="Q3186" s="27"/>
      <c r="R3186" s="27"/>
    </row>
    <row r="3187" spans="1:18">
      <c r="A3187" s="28"/>
      <c r="B3187" s="29"/>
      <c r="C3187" s="29"/>
      <c r="D3187" s="29"/>
      <c r="E3187" s="29"/>
      <c r="H3187" s="27"/>
      <c r="K3187"/>
      <c r="P3187" s="27"/>
      <c r="Q3187" s="27"/>
      <c r="R3187" s="27"/>
    </row>
    <row r="3188" spans="1:18">
      <c r="A3188" s="28"/>
      <c r="B3188" s="29"/>
      <c r="C3188" s="29"/>
      <c r="D3188" s="29"/>
      <c r="E3188" s="29"/>
      <c r="H3188" s="27"/>
      <c r="K3188"/>
      <c r="P3188" s="27"/>
      <c r="Q3188" s="27"/>
      <c r="R3188" s="27"/>
    </row>
    <row r="3189" spans="1:18">
      <c r="A3189" s="28"/>
      <c r="B3189" s="29"/>
      <c r="C3189" s="29"/>
      <c r="D3189" s="29"/>
      <c r="E3189" s="29"/>
      <c r="H3189" s="27"/>
      <c r="K3189"/>
      <c r="P3189" s="27"/>
      <c r="Q3189" s="27"/>
      <c r="R3189" s="27"/>
    </row>
    <row r="3190" spans="1:18">
      <c r="A3190" s="28"/>
      <c r="B3190" s="29"/>
      <c r="C3190" s="29"/>
      <c r="D3190" s="29"/>
      <c r="E3190" s="29"/>
      <c r="H3190" s="27"/>
      <c r="K3190"/>
      <c r="P3190" s="27"/>
      <c r="Q3190" s="27"/>
      <c r="R3190" s="27"/>
    </row>
    <row r="3191" spans="1:18">
      <c r="A3191" s="28"/>
      <c r="B3191" s="29"/>
      <c r="C3191" s="29"/>
      <c r="D3191" s="29"/>
      <c r="E3191" s="29"/>
      <c r="H3191" s="27"/>
      <c r="K3191"/>
      <c r="P3191" s="27"/>
      <c r="Q3191" s="27"/>
      <c r="R3191" s="27"/>
    </row>
    <row r="3192" spans="1:18">
      <c r="A3192" s="28"/>
      <c r="B3192" s="29"/>
      <c r="C3192" s="29"/>
      <c r="D3192" s="29"/>
      <c r="E3192" s="29"/>
      <c r="H3192" s="27"/>
      <c r="K3192"/>
      <c r="P3192" s="27"/>
      <c r="Q3192" s="27"/>
      <c r="R3192" s="27"/>
    </row>
    <row r="3193" spans="1:18">
      <c r="A3193" s="28"/>
      <c r="B3193" s="29"/>
      <c r="C3193" s="29"/>
      <c r="D3193" s="29"/>
      <c r="E3193" s="29"/>
      <c r="H3193" s="27"/>
      <c r="K3193"/>
      <c r="P3193" s="27"/>
      <c r="Q3193" s="27"/>
      <c r="R3193" s="27"/>
    </row>
    <row r="3194" spans="1:18">
      <c r="A3194" s="28"/>
      <c r="B3194" s="29"/>
      <c r="C3194" s="29"/>
      <c r="D3194" s="29"/>
      <c r="E3194" s="29"/>
      <c r="H3194" s="27"/>
      <c r="K3194"/>
      <c r="P3194" s="27"/>
      <c r="Q3194" s="27"/>
      <c r="R3194" s="27"/>
    </row>
    <row r="3195" spans="1:18">
      <c r="A3195" s="28"/>
      <c r="B3195" s="29"/>
      <c r="C3195" s="29"/>
      <c r="D3195" s="29"/>
      <c r="E3195" s="29"/>
      <c r="H3195" s="27"/>
      <c r="K3195"/>
      <c r="P3195" s="27"/>
      <c r="Q3195" s="27"/>
      <c r="R3195" s="27"/>
    </row>
    <row r="3196" spans="1:18">
      <c r="A3196" s="28"/>
      <c r="B3196" s="29"/>
      <c r="C3196" s="29"/>
      <c r="D3196" s="29"/>
      <c r="E3196" s="29"/>
      <c r="H3196" s="27"/>
      <c r="K3196"/>
      <c r="P3196" s="27"/>
      <c r="Q3196" s="27"/>
      <c r="R3196" s="27"/>
    </row>
    <row r="3197" spans="1:18">
      <c r="A3197" s="28"/>
      <c r="B3197" s="29"/>
      <c r="C3197" s="29"/>
      <c r="D3197" s="29"/>
      <c r="E3197" s="29"/>
      <c r="H3197" s="27"/>
      <c r="K3197"/>
      <c r="P3197" s="27"/>
      <c r="Q3197" s="27"/>
      <c r="R3197" s="27"/>
    </row>
    <row r="3198" spans="1:18">
      <c r="A3198" s="28"/>
      <c r="B3198" s="29"/>
      <c r="C3198" s="29"/>
      <c r="D3198" s="29"/>
      <c r="E3198" s="29"/>
      <c r="H3198" s="27"/>
      <c r="K3198"/>
      <c r="P3198" s="27"/>
      <c r="Q3198" s="27"/>
      <c r="R3198" s="27"/>
    </row>
    <row r="3199" spans="1:18">
      <c r="A3199" s="28"/>
      <c r="B3199" s="29"/>
      <c r="C3199" s="29"/>
      <c r="D3199" s="29"/>
      <c r="E3199" s="29"/>
      <c r="H3199" s="27"/>
      <c r="K3199"/>
      <c r="P3199" s="27"/>
      <c r="Q3199" s="27"/>
      <c r="R3199" s="27"/>
    </row>
    <row r="3200" spans="1:18">
      <c r="A3200" s="28"/>
      <c r="B3200" s="29"/>
      <c r="C3200" s="29"/>
      <c r="D3200" s="29"/>
      <c r="E3200" s="29"/>
      <c r="H3200" s="27"/>
      <c r="K3200"/>
      <c r="P3200" s="27"/>
      <c r="Q3200" s="27"/>
      <c r="R3200" s="27"/>
    </row>
    <row r="3201" spans="1:18">
      <c r="A3201" s="28"/>
      <c r="B3201" s="29"/>
      <c r="C3201" s="29"/>
      <c r="D3201" s="29"/>
      <c r="E3201" s="29"/>
      <c r="H3201" s="27"/>
      <c r="K3201"/>
      <c r="P3201" s="27"/>
      <c r="Q3201" s="27"/>
      <c r="R3201" s="27"/>
    </row>
    <row r="3202" spans="1:18">
      <c r="A3202" s="28"/>
      <c r="B3202" s="29"/>
      <c r="C3202" s="29"/>
      <c r="D3202" s="29"/>
      <c r="E3202" s="29"/>
      <c r="H3202" s="27"/>
      <c r="K3202"/>
      <c r="P3202" s="27"/>
      <c r="Q3202" s="27"/>
      <c r="R3202" s="27"/>
    </row>
    <row r="3203" spans="1:18">
      <c r="A3203" s="28"/>
      <c r="B3203" s="29"/>
      <c r="C3203" s="29"/>
      <c r="D3203" s="29"/>
      <c r="E3203" s="29"/>
      <c r="H3203" s="27"/>
      <c r="K3203"/>
      <c r="P3203" s="27"/>
      <c r="Q3203" s="27"/>
      <c r="R3203" s="27"/>
    </row>
    <row r="3204" spans="1:18">
      <c r="A3204" s="28"/>
      <c r="B3204" s="29"/>
      <c r="C3204" s="29"/>
      <c r="D3204" s="29"/>
      <c r="E3204" s="29"/>
      <c r="H3204" s="27"/>
      <c r="K3204"/>
      <c r="P3204" s="27"/>
      <c r="Q3204" s="27"/>
      <c r="R3204" s="27"/>
    </row>
    <row r="3205" spans="1:18">
      <c r="A3205" s="28"/>
      <c r="B3205" s="29"/>
      <c r="C3205" s="29"/>
      <c r="D3205" s="29"/>
      <c r="E3205" s="29"/>
      <c r="H3205" s="27"/>
      <c r="K3205"/>
      <c r="P3205" s="27"/>
      <c r="Q3205" s="27"/>
      <c r="R3205" s="27"/>
    </row>
    <row r="3206" spans="1:18">
      <c r="A3206" s="28"/>
      <c r="B3206" s="29"/>
      <c r="C3206" s="29"/>
      <c r="D3206" s="29"/>
      <c r="E3206" s="29"/>
      <c r="H3206" s="27"/>
      <c r="K3206"/>
      <c r="P3206" s="27"/>
      <c r="Q3206" s="27"/>
      <c r="R3206" s="27"/>
    </row>
    <row r="3207" spans="1:18">
      <c r="A3207" s="28"/>
      <c r="B3207" s="29"/>
      <c r="C3207" s="29"/>
      <c r="D3207" s="29"/>
      <c r="E3207" s="29"/>
      <c r="H3207" s="27"/>
      <c r="K3207"/>
      <c r="P3207" s="27"/>
      <c r="Q3207" s="27"/>
      <c r="R3207" s="27"/>
    </row>
    <row r="3208" spans="1:18">
      <c r="A3208" s="28"/>
      <c r="B3208" s="29"/>
      <c r="C3208" s="29"/>
      <c r="D3208" s="29"/>
      <c r="E3208" s="29"/>
      <c r="H3208" s="27"/>
      <c r="K3208"/>
      <c r="P3208" s="27"/>
      <c r="Q3208" s="27"/>
      <c r="R3208" s="27"/>
    </row>
    <row r="3209" spans="1:18">
      <c r="A3209" s="28"/>
      <c r="B3209" s="29"/>
      <c r="C3209" s="29"/>
      <c r="D3209" s="29"/>
      <c r="E3209" s="29"/>
      <c r="H3209" s="27"/>
      <c r="K3209"/>
      <c r="P3209" s="27"/>
      <c r="Q3209" s="27"/>
      <c r="R3209" s="27"/>
    </row>
    <row r="3210" spans="1:18">
      <c r="A3210" s="28"/>
      <c r="B3210" s="29"/>
      <c r="C3210" s="29"/>
      <c r="D3210" s="29"/>
      <c r="E3210" s="29"/>
      <c r="H3210" s="27"/>
      <c r="K3210"/>
      <c r="P3210" s="27"/>
      <c r="Q3210" s="27"/>
      <c r="R3210" s="27"/>
    </row>
    <row r="3211" spans="1:18">
      <c r="A3211" s="28"/>
      <c r="B3211" s="29"/>
      <c r="C3211" s="29"/>
      <c r="D3211" s="29"/>
      <c r="E3211" s="29"/>
      <c r="H3211" s="27"/>
      <c r="K3211"/>
      <c r="P3211" s="27"/>
      <c r="Q3211" s="27"/>
      <c r="R3211" s="27"/>
    </row>
    <row r="3212" spans="1:18">
      <c r="A3212" s="28"/>
      <c r="B3212" s="29"/>
      <c r="C3212" s="29"/>
      <c r="D3212" s="29"/>
      <c r="E3212" s="29"/>
      <c r="H3212" s="27"/>
      <c r="K3212"/>
      <c r="P3212" s="27"/>
      <c r="Q3212" s="27"/>
      <c r="R3212" s="27"/>
    </row>
    <row r="3213" spans="1:18">
      <c r="A3213" s="28"/>
      <c r="B3213" s="29"/>
      <c r="C3213" s="29"/>
      <c r="D3213" s="29"/>
      <c r="E3213" s="29"/>
      <c r="H3213" s="27"/>
      <c r="K3213"/>
      <c r="P3213" s="27"/>
      <c r="Q3213" s="27"/>
      <c r="R3213" s="27"/>
    </row>
    <row r="3214" spans="1:18">
      <c r="A3214" s="28"/>
      <c r="B3214" s="29"/>
      <c r="C3214" s="29"/>
      <c r="D3214" s="29"/>
      <c r="E3214" s="29"/>
      <c r="H3214" s="27"/>
      <c r="K3214"/>
      <c r="P3214" s="27"/>
      <c r="Q3214" s="27"/>
      <c r="R3214" s="27"/>
    </row>
    <row r="3215" spans="1:18">
      <c r="A3215" s="28"/>
      <c r="B3215" s="29"/>
      <c r="C3215" s="29"/>
      <c r="D3215" s="29"/>
      <c r="E3215" s="29"/>
      <c r="H3215" s="27"/>
      <c r="K3215"/>
      <c r="P3215" s="27"/>
      <c r="Q3215" s="27"/>
      <c r="R3215" s="27"/>
    </row>
    <row r="3216" spans="1:18">
      <c r="A3216" s="28"/>
      <c r="B3216" s="29"/>
      <c r="C3216" s="29"/>
      <c r="D3216" s="29"/>
      <c r="E3216" s="29"/>
      <c r="H3216" s="27"/>
      <c r="K3216"/>
      <c r="P3216" s="27"/>
      <c r="Q3216" s="27"/>
      <c r="R3216" s="27"/>
    </row>
    <row r="3217" spans="1:18">
      <c r="A3217" s="28"/>
      <c r="B3217" s="29"/>
      <c r="C3217" s="29"/>
      <c r="D3217" s="29"/>
      <c r="E3217" s="29"/>
      <c r="H3217" s="27"/>
      <c r="K3217"/>
      <c r="P3217" s="27"/>
      <c r="Q3217" s="27"/>
      <c r="R3217" s="27"/>
    </row>
    <row r="3218" spans="1:18">
      <c r="A3218" s="28"/>
      <c r="B3218" s="29"/>
      <c r="C3218" s="29"/>
      <c r="D3218" s="29"/>
      <c r="E3218" s="29"/>
      <c r="H3218" s="27"/>
      <c r="K3218"/>
      <c r="P3218" s="27"/>
      <c r="Q3218" s="27"/>
      <c r="R3218" s="27"/>
    </row>
    <row r="3219" spans="1:18">
      <c r="A3219" s="28"/>
      <c r="B3219" s="29"/>
      <c r="C3219" s="29"/>
      <c r="D3219" s="29"/>
      <c r="E3219" s="29"/>
      <c r="H3219" s="27"/>
      <c r="K3219"/>
      <c r="P3219" s="27"/>
      <c r="Q3219" s="27"/>
      <c r="R3219" s="27"/>
    </row>
    <row r="3220" spans="1:18">
      <c r="A3220" s="28"/>
      <c r="B3220" s="29"/>
      <c r="C3220" s="29"/>
      <c r="D3220" s="29"/>
      <c r="E3220" s="29"/>
      <c r="H3220" s="27"/>
      <c r="K3220"/>
      <c r="P3220" s="27"/>
      <c r="Q3220" s="27"/>
      <c r="R3220" s="27"/>
    </row>
    <row r="3221" spans="1:18">
      <c r="A3221" s="28"/>
      <c r="B3221" s="29"/>
      <c r="C3221" s="29"/>
      <c r="D3221" s="29"/>
      <c r="E3221" s="29"/>
      <c r="H3221" s="27"/>
      <c r="K3221"/>
      <c r="P3221" s="27"/>
      <c r="Q3221" s="27"/>
      <c r="R3221" s="27"/>
    </row>
    <row r="3222" spans="1:18">
      <c r="A3222" s="28"/>
      <c r="B3222" s="29"/>
      <c r="C3222" s="29"/>
      <c r="D3222" s="29"/>
      <c r="E3222" s="29"/>
      <c r="H3222" s="27"/>
      <c r="K3222"/>
      <c r="P3222" s="27"/>
      <c r="Q3222" s="27"/>
      <c r="R3222" s="27"/>
    </row>
    <row r="3223" spans="1:18">
      <c r="A3223" s="28"/>
      <c r="B3223" s="29"/>
      <c r="C3223" s="29"/>
      <c r="D3223" s="29"/>
      <c r="E3223" s="29"/>
      <c r="H3223" s="27"/>
      <c r="K3223"/>
      <c r="P3223" s="27"/>
      <c r="Q3223" s="27"/>
      <c r="R3223" s="27"/>
    </row>
    <row r="3224" spans="1:18">
      <c r="A3224" s="28"/>
      <c r="B3224" s="29"/>
      <c r="C3224" s="29"/>
      <c r="D3224" s="29"/>
      <c r="E3224" s="29"/>
      <c r="H3224" s="27"/>
      <c r="K3224"/>
      <c r="P3224" s="27"/>
      <c r="Q3224" s="27"/>
      <c r="R3224" s="27"/>
    </row>
    <row r="3225" spans="1:18">
      <c r="A3225" s="28"/>
      <c r="B3225" s="29"/>
      <c r="C3225" s="29"/>
      <c r="D3225" s="29"/>
      <c r="E3225" s="29"/>
      <c r="H3225" s="27"/>
      <c r="K3225"/>
      <c r="P3225" s="27"/>
      <c r="Q3225" s="27"/>
      <c r="R3225" s="27"/>
    </row>
    <row r="3226" spans="1:18">
      <c r="A3226" s="28"/>
      <c r="B3226" s="29"/>
      <c r="C3226" s="29"/>
      <c r="D3226" s="29"/>
      <c r="E3226" s="29"/>
      <c r="H3226" s="27"/>
      <c r="K3226"/>
      <c r="P3226" s="27"/>
      <c r="Q3226" s="27"/>
      <c r="R3226" s="27"/>
    </row>
    <row r="3227" spans="1:18">
      <c r="A3227" s="28"/>
      <c r="B3227" s="29"/>
      <c r="C3227" s="29"/>
      <c r="D3227" s="29"/>
      <c r="E3227" s="29"/>
      <c r="H3227" s="27"/>
      <c r="K3227"/>
      <c r="P3227" s="27"/>
      <c r="Q3227" s="27"/>
      <c r="R3227" s="27"/>
    </row>
    <row r="3228" spans="1:18">
      <c r="A3228" s="28"/>
      <c r="B3228" s="29"/>
      <c r="C3228" s="29"/>
      <c r="D3228" s="29"/>
      <c r="E3228" s="29"/>
      <c r="H3228" s="27"/>
      <c r="K3228"/>
      <c r="P3228" s="27"/>
      <c r="Q3228" s="27"/>
      <c r="R3228" s="27"/>
    </row>
    <row r="3229" spans="1:18">
      <c r="A3229" s="28"/>
      <c r="B3229" s="29"/>
      <c r="C3229" s="29"/>
      <c r="D3229" s="29"/>
      <c r="E3229" s="29"/>
      <c r="H3229" s="27"/>
      <c r="K3229"/>
      <c r="P3229" s="27"/>
      <c r="Q3229" s="27"/>
      <c r="R3229" s="27"/>
    </row>
    <row r="3230" spans="1:18">
      <c r="A3230" s="28"/>
      <c r="B3230" s="29"/>
      <c r="C3230" s="29"/>
      <c r="D3230" s="29"/>
      <c r="E3230" s="29"/>
      <c r="H3230" s="27"/>
      <c r="K3230"/>
      <c r="P3230" s="27"/>
      <c r="Q3230" s="27"/>
      <c r="R3230" s="27"/>
    </row>
    <row r="3231" spans="1:18">
      <c r="A3231" s="28"/>
      <c r="B3231" s="29"/>
      <c r="C3231" s="29"/>
      <c r="D3231" s="29"/>
      <c r="E3231" s="29"/>
      <c r="H3231" s="27"/>
      <c r="K3231"/>
      <c r="P3231" s="27"/>
      <c r="Q3231" s="27"/>
      <c r="R3231" s="27"/>
    </row>
    <row r="3232" spans="1:18">
      <c r="A3232" s="28"/>
      <c r="B3232" s="29"/>
      <c r="C3232" s="29"/>
      <c r="D3232" s="29"/>
      <c r="E3232" s="29"/>
      <c r="H3232" s="27"/>
      <c r="K3232"/>
      <c r="P3232" s="27"/>
      <c r="Q3232" s="27"/>
      <c r="R3232" s="27"/>
    </row>
    <row r="3233" spans="1:18">
      <c r="A3233" s="28"/>
      <c r="B3233" s="29"/>
      <c r="C3233" s="29"/>
      <c r="D3233" s="29"/>
      <c r="E3233" s="29"/>
      <c r="H3233" s="27"/>
      <c r="K3233"/>
      <c r="P3233" s="27"/>
      <c r="Q3233" s="27"/>
      <c r="R3233" s="27"/>
    </row>
    <row r="3234" spans="1:18">
      <c r="A3234" s="28"/>
      <c r="B3234" s="29"/>
      <c r="C3234" s="29"/>
      <c r="D3234" s="29"/>
      <c r="E3234" s="29"/>
      <c r="H3234" s="27"/>
      <c r="K3234"/>
      <c r="P3234" s="27"/>
      <c r="Q3234" s="27"/>
      <c r="R3234" s="27"/>
    </row>
    <row r="3235" spans="1:18">
      <c r="A3235" s="28"/>
      <c r="B3235" s="29"/>
      <c r="C3235" s="29"/>
      <c r="D3235" s="29"/>
      <c r="E3235" s="29"/>
      <c r="H3235" s="27"/>
      <c r="K3235"/>
      <c r="P3235" s="27"/>
      <c r="Q3235" s="27"/>
      <c r="R3235" s="27"/>
    </row>
    <row r="3236" spans="1:18">
      <c r="A3236" s="28"/>
      <c r="B3236" s="29"/>
      <c r="C3236" s="29"/>
      <c r="D3236" s="29"/>
      <c r="E3236" s="29"/>
      <c r="H3236" s="27"/>
      <c r="K3236"/>
      <c r="P3236" s="27"/>
      <c r="Q3236" s="27"/>
      <c r="R3236" s="27"/>
    </row>
    <row r="3237" spans="1:18">
      <c r="A3237" s="28"/>
      <c r="B3237" s="29"/>
      <c r="C3237" s="29"/>
      <c r="D3237" s="29"/>
      <c r="E3237" s="29"/>
      <c r="H3237" s="27"/>
      <c r="K3237"/>
      <c r="P3237" s="27"/>
      <c r="Q3237" s="27"/>
      <c r="R3237" s="27"/>
    </row>
    <row r="3238" spans="1:18">
      <c r="A3238" s="28"/>
      <c r="B3238" s="29"/>
      <c r="C3238" s="29"/>
      <c r="D3238" s="29"/>
      <c r="E3238" s="29"/>
      <c r="H3238" s="27"/>
      <c r="K3238"/>
      <c r="P3238" s="27"/>
      <c r="Q3238" s="27"/>
      <c r="R3238" s="27"/>
    </row>
    <row r="3239" spans="1:18">
      <c r="A3239" s="28"/>
      <c r="B3239" s="29"/>
      <c r="C3239" s="29"/>
      <c r="D3239" s="29"/>
      <c r="E3239" s="29"/>
      <c r="H3239" s="27"/>
      <c r="K3239"/>
      <c r="P3239" s="27"/>
      <c r="Q3239" s="27"/>
      <c r="R3239" s="27"/>
    </row>
    <row r="3240" spans="1:18">
      <c r="A3240" s="28"/>
      <c r="B3240" s="29"/>
      <c r="C3240" s="29"/>
      <c r="D3240" s="29"/>
      <c r="E3240" s="29"/>
      <c r="H3240" s="27"/>
      <c r="K3240"/>
      <c r="P3240" s="27"/>
      <c r="Q3240" s="27"/>
      <c r="R3240" s="27"/>
    </row>
    <row r="3241" spans="1:18">
      <c r="A3241" s="28"/>
      <c r="B3241" s="29"/>
      <c r="C3241" s="29"/>
      <c r="D3241" s="29"/>
      <c r="E3241" s="29"/>
      <c r="H3241" s="27"/>
      <c r="K3241"/>
      <c r="P3241" s="27"/>
      <c r="Q3241" s="27"/>
      <c r="R3241" s="27"/>
    </row>
    <row r="3242" spans="1:18">
      <c r="A3242" s="28"/>
      <c r="B3242" s="29"/>
      <c r="C3242" s="29"/>
      <c r="D3242" s="29"/>
      <c r="E3242" s="29"/>
      <c r="H3242" s="27"/>
      <c r="K3242"/>
      <c r="P3242" s="27"/>
      <c r="Q3242" s="27"/>
      <c r="R3242" s="27"/>
    </row>
    <row r="3243" spans="1:18">
      <c r="A3243" s="28"/>
      <c r="B3243" s="29"/>
      <c r="C3243" s="29"/>
      <c r="D3243" s="29"/>
      <c r="E3243" s="29"/>
      <c r="H3243" s="27"/>
      <c r="K3243"/>
      <c r="P3243" s="27"/>
      <c r="Q3243" s="27"/>
      <c r="R3243" s="27"/>
    </row>
    <row r="3244" spans="1:18">
      <c r="A3244" s="28"/>
      <c r="B3244" s="29"/>
      <c r="C3244" s="29"/>
      <c r="D3244" s="29"/>
      <c r="E3244" s="29"/>
      <c r="H3244" s="27"/>
      <c r="K3244"/>
      <c r="P3244" s="27"/>
      <c r="Q3244" s="27"/>
      <c r="R3244" s="27"/>
    </row>
    <row r="3245" spans="1:18">
      <c r="A3245" s="28"/>
      <c r="B3245" s="29"/>
      <c r="C3245" s="29"/>
      <c r="D3245" s="29"/>
      <c r="E3245" s="29"/>
      <c r="H3245" s="27"/>
      <c r="K3245"/>
      <c r="P3245" s="27"/>
      <c r="Q3245" s="27"/>
      <c r="R3245" s="27"/>
    </row>
    <row r="3246" spans="1:18">
      <c r="A3246" s="28"/>
      <c r="B3246" s="29"/>
      <c r="C3246" s="29"/>
      <c r="D3246" s="29"/>
      <c r="E3246" s="29"/>
      <c r="H3246" s="27"/>
      <c r="K3246"/>
      <c r="P3246" s="27"/>
      <c r="Q3246" s="27"/>
      <c r="R3246" s="27"/>
    </row>
    <row r="3247" spans="1:18">
      <c r="A3247" s="28"/>
      <c r="B3247" s="29"/>
      <c r="C3247" s="29"/>
      <c r="D3247" s="29"/>
      <c r="E3247" s="29"/>
      <c r="H3247" s="27"/>
      <c r="K3247"/>
      <c r="P3247" s="27"/>
      <c r="Q3247" s="27"/>
      <c r="R3247" s="27"/>
    </row>
    <row r="3248" spans="1:18">
      <c r="A3248" s="28"/>
      <c r="B3248" s="29"/>
      <c r="C3248" s="29"/>
      <c r="D3248" s="29"/>
      <c r="E3248" s="29"/>
      <c r="H3248" s="27"/>
      <c r="K3248"/>
      <c r="P3248" s="27"/>
      <c r="Q3248" s="27"/>
      <c r="R3248" s="27"/>
    </row>
    <row r="3249" spans="1:18">
      <c r="A3249" s="28"/>
      <c r="B3249" s="29"/>
      <c r="C3249" s="29"/>
      <c r="D3249" s="29"/>
      <c r="E3249" s="29"/>
      <c r="H3249" s="27"/>
      <c r="K3249"/>
      <c r="P3249" s="27"/>
      <c r="Q3249" s="27"/>
      <c r="R3249" s="27"/>
    </row>
    <row r="3250" spans="1:18">
      <c r="A3250" s="28"/>
      <c r="B3250" s="29"/>
      <c r="C3250" s="29"/>
      <c r="D3250" s="29"/>
      <c r="E3250" s="29"/>
      <c r="H3250" s="27"/>
      <c r="K3250"/>
      <c r="P3250" s="27"/>
      <c r="Q3250" s="27"/>
      <c r="R3250" s="27"/>
    </row>
    <row r="3251" spans="1:18">
      <c r="A3251" s="28"/>
      <c r="B3251" s="29"/>
      <c r="C3251" s="29"/>
      <c r="D3251" s="29"/>
      <c r="E3251" s="29"/>
      <c r="H3251" s="27"/>
      <c r="K3251"/>
      <c r="P3251" s="27"/>
      <c r="Q3251" s="27"/>
      <c r="R3251" s="27"/>
    </row>
    <row r="3252" spans="1:18">
      <c r="A3252" s="28"/>
      <c r="B3252" s="29"/>
      <c r="C3252" s="29"/>
      <c r="D3252" s="29"/>
      <c r="E3252" s="29"/>
      <c r="H3252" s="27"/>
      <c r="K3252"/>
      <c r="P3252" s="27"/>
      <c r="Q3252" s="27"/>
      <c r="R3252" s="27"/>
    </row>
    <row r="3253" spans="1:18">
      <c r="A3253" s="28"/>
      <c r="B3253" s="29"/>
      <c r="C3253" s="29"/>
      <c r="D3253" s="29"/>
      <c r="E3253" s="29"/>
      <c r="H3253" s="27"/>
      <c r="K3253"/>
      <c r="P3253" s="27"/>
      <c r="Q3253" s="27"/>
      <c r="R3253" s="27"/>
    </row>
    <row r="3254" spans="1:18">
      <c r="A3254" s="28"/>
      <c r="B3254" s="29"/>
      <c r="C3254" s="29"/>
      <c r="D3254" s="29"/>
      <c r="E3254" s="29"/>
      <c r="H3254" s="27"/>
      <c r="K3254"/>
      <c r="P3254" s="27"/>
      <c r="Q3254" s="27"/>
      <c r="R3254" s="27"/>
    </row>
    <row r="3255" spans="1:18">
      <c r="A3255" s="28"/>
      <c r="B3255" s="29"/>
      <c r="C3255" s="29"/>
      <c r="D3255" s="29"/>
      <c r="E3255" s="29"/>
      <c r="H3255" s="27"/>
      <c r="K3255"/>
      <c r="P3255" s="27"/>
      <c r="Q3255" s="27"/>
      <c r="R3255" s="27"/>
    </row>
    <row r="3256" spans="1:18">
      <c r="A3256" s="28"/>
      <c r="B3256" s="29"/>
      <c r="C3256" s="29"/>
      <c r="D3256" s="29"/>
      <c r="E3256" s="29"/>
      <c r="H3256" s="27"/>
      <c r="K3256"/>
      <c r="P3256" s="27"/>
      <c r="Q3256" s="27"/>
      <c r="R3256" s="27"/>
    </row>
    <row r="3257" spans="1:18">
      <c r="A3257" s="28"/>
      <c r="B3257" s="29"/>
      <c r="C3257" s="29"/>
      <c r="D3257" s="29"/>
      <c r="E3257" s="29"/>
      <c r="H3257" s="27"/>
      <c r="K3257"/>
      <c r="P3257" s="27"/>
      <c r="Q3257" s="27"/>
      <c r="R3257" s="27"/>
    </row>
    <row r="3258" spans="1:18">
      <c r="A3258" s="28"/>
      <c r="B3258" s="29"/>
      <c r="C3258" s="29"/>
      <c r="D3258" s="29"/>
      <c r="E3258" s="29"/>
      <c r="H3258" s="27"/>
      <c r="K3258"/>
      <c r="P3258" s="27"/>
      <c r="Q3258" s="27"/>
      <c r="R3258" s="27"/>
    </row>
    <row r="3259" spans="1:18">
      <c r="A3259" s="28"/>
      <c r="B3259" s="29"/>
      <c r="C3259" s="29"/>
      <c r="D3259" s="29"/>
      <c r="E3259" s="29"/>
      <c r="H3259" s="27"/>
      <c r="K3259"/>
      <c r="P3259" s="27"/>
      <c r="Q3259" s="27"/>
      <c r="R3259" s="27"/>
    </row>
    <row r="3260" spans="1:18">
      <c r="A3260" s="28"/>
      <c r="B3260" s="29"/>
      <c r="C3260" s="29"/>
      <c r="D3260" s="29"/>
      <c r="E3260" s="29"/>
      <c r="H3260" s="27"/>
      <c r="K3260"/>
      <c r="P3260" s="27"/>
      <c r="Q3260" s="27"/>
      <c r="R3260" s="27"/>
    </row>
    <row r="3261" spans="1:18">
      <c r="A3261" s="28"/>
      <c r="B3261" s="29"/>
      <c r="C3261" s="29"/>
      <c r="D3261" s="29"/>
      <c r="E3261" s="29"/>
      <c r="H3261" s="27"/>
      <c r="K3261"/>
      <c r="P3261" s="27"/>
      <c r="Q3261" s="27"/>
      <c r="R3261" s="27"/>
    </row>
    <row r="3262" spans="1:18">
      <c r="A3262" s="28"/>
      <c r="B3262" s="29"/>
      <c r="C3262" s="29"/>
      <c r="D3262" s="29"/>
      <c r="E3262" s="29"/>
      <c r="H3262" s="27"/>
      <c r="K3262"/>
      <c r="P3262" s="27"/>
      <c r="Q3262" s="27"/>
      <c r="R3262" s="27"/>
    </row>
    <row r="3263" spans="1:18">
      <c r="A3263" s="28"/>
      <c r="B3263" s="29"/>
      <c r="C3263" s="29"/>
      <c r="D3263" s="29"/>
      <c r="E3263" s="29"/>
      <c r="H3263" s="27"/>
      <c r="K3263"/>
      <c r="P3263" s="27"/>
      <c r="Q3263" s="27"/>
      <c r="R3263" s="27"/>
    </row>
    <row r="3264" spans="1:18">
      <c r="A3264" s="28"/>
      <c r="B3264" s="29"/>
      <c r="C3264" s="29"/>
      <c r="D3264" s="29"/>
      <c r="E3264" s="29"/>
      <c r="H3264" s="27"/>
      <c r="K3264"/>
      <c r="P3264" s="27"/>
      <c r="Q3264" s="27"/>
      <c r="R3264" s="27"/>
    </row>
    <row r="3265" spans="1:18">
      <c r="A3265" s="28"/>
      <c r="B3265" s="29"/>
      <c r="C3265" s="29"/>
      <c r="D3265" s="29"/>
      <c r="E3265" s="29"/>
      <c r="H3265" s="27"/>
      <c r="K3265"/>
      <c r="P3265" s="27"/>
      <c r="Q3265" s="27"/>
      <c r="R3265" s="27"/>
    </row>
    <row r="3266" spans="1:18">
      <c r="A3266" s="28"/>
      <c r="B3266" s="29"/>
      <c r="C3266" s="29"/>
      <c r="D3266" s="29"/>
      <c r="E3266" s="29"/>
      <c r="H3266" s="27"/>
      <c r="K3266"/>
      <c r="P3266" s="27"/>
      <c r="Q3266" s="27"/>
      <c r="R3266" s="27"/>
    </row>
    <row r="3267" spans="1:18">
      <c r="A3267" s="28"/>
      <c r="B3267" s="29"/>
      <c r="C3267" s="29"/>
      <c r="D3267" s="29"/>
      <c r="E3267" s="29"/>
      <c r="H3267" s="27"/>
      <c r="K3267"/>
      <c r="P3267" s="27"/>
      <c r="Q3267" s="27"/>
      <c r="R3267" s="27"/>
    </row>
    <row r="3268" spans="1:18">
      <c r="A3268" s="28"/>
      <c r="B3268" s="29"/>
      <c r="C3268" s="29"/>
      <c r="D3268" s="29"/>
      <c r="E3268" s="29"/>
      <c r="H3268" s="27"/>
      <c r="K3268"/>
      <c r="P3268" s="27"/>
      <c r="Q3268" s="27"/>
      <c r="R3268" s="27"/>
    </row>
    <row r="3269" spans="1:18">
      <c r="A3269" s="28"/>
      <c r="B3269" s="29"/>
      <c r="C3269" s="29"/>
      <c r="D3269" s="29"/>
      <c r="E3269" s="29"/>
      <c r="H3269" s="27"/>
      <c r="K3269"/>
      <c r="P3269" s="27"/>
      <c r="Q3269" s="27"/>
      <c r="R3269" s="27"/>
    </row>
    <row r="3270" spans="1:18">
      <c r="A3270" s="28"/>
      <c r="B3270" s="29"/>
      <c r="C3270" s="29"/>
      <c r="D3270" s="29"/>
      <c r="E3270" s="29"/>
      <c r="H3270" s="27"/>
      <c r="K3270"/>
      <c r="P3270" s="27"/>
      <c r="Q3270" s="27"/>
      <c r="R3270" s="27"/>
    </row>
    <row r="3271" spans="1:18">
      <c r="A3271" s="28"/>
      <c r="B3271" s="29"/>
      <c r="C3271" s="29"/>
      <c r="D3271" s="29"/>
      <c r="E3271" s="29"/>
      <c r="H3271" s="27"/>
      <c r="K3271"/>
      <c r="P3271" s="27"/>
      <c r="Q3271" s="27"/>
      <c r="R3271" s="27"/>
    </row>
    <row r="3272" spans="1:18">
      <c r="A3272" s="28"/>
      <c r="B3272" s="29"/>
      <c r="C3272" s="29"/>
      <c r="D3272" s="29"/>
      <c r="E3272" s="29"/>
      <c r="H3272" s="27"/>
      <c r="K3272"/>
      <c r="P3272" s="27"/>
      <c r="Q3272" s="27"/>
      <c r="R3272" s="27"/>
    </row>
    <row r="3273" spans="1:18">
      <c r="A3273" s="28"/>
      <c r="B3273" s="29"/>
      <c r="C3273" s="29"/>
      <c r="D3273" s="29"/>
      <c r="E3273" s="29"/>
      <c r="H3273" s="27"/>
      <c r="K3273"/>
      <c r="P3273" s="27"/>
      <c r="Q3273" s="27"/>
      <c r="R3273" s="27"/>
    </row>
    <row r="3274" spans="1:18">
      <c r="A3274" s="28"/>
      <c r="B3274" s="29"/>
      <c r="C3274" s="29"/>
      <c r="D3274" s="29"/>
      <c r="E3274" s="29"/>
      <c r="H3274" s="27"/>
      <c r="K3274"/>
      <c r="P3274" s="27"/>
      <c r="Q3274" s="27"/>
      <c r="R3274" s="27"/>
    </row>
    <row r="3275" spans="1:18">
      <c r="A3275" s="28"/>
      <c r="B3275" s="29"/>
      <c r="C3275" s="29"/>
      <c r="D3275" s="29"/>
      <c r="E3275" s="29"/>
      <c r="H3275" s="27"/>
      <c r="K3275"/>
      <c r="P3275" s="27"/>
      <c r="Q3275" s="27"/>
      <c r="R3275" s="27"/>
    </row>
    <row r="3276" spans="1:18">
      <c r="A3276" s="28"/>
      <c r="B3276" s="29"/>
      <c r="C3276" s="29"/>
      <c r="D3276" s="29"/>
      <c r="E3276" s="29"/>
      <c r="H3276" s="27"/>
      <c r="K3276"/>
      <c r="P3276" s="27"/>
      <c r="Q3276" s="27"/>
      <c r="R3276" s="27"/>
    </row>
    <row r="3277" spans="1:18">
      <c r="A3277" s="28"/>
      <c r="B3277" s="29"/>
      <c r="C3277" s="29"/>
      <c r="D3277" s="29"/>
      <c r="E3277" s="29"/>
      <c r="H3277" s="27"/>
      <c r="K3277"/>
      <c r="P3277" s="27"/>
      <c r="Q3277" s="27"/>
      <c r="R3277" s="27"/>
    </row>
    <row r="3278" spans="1:18">
      <c r="A3278" s="28"/>
      <c r="B3278" s="29"/>
      <c r="C3278" s="29"/>
      <c r="D3278" s="29"/>
      <c r="E3278" s="29"/>
      <c r="H3278" s="27"/>
      <c r="K3278"/>
      <c r="P3278" s="27"/>
      <c r="Q3278" s="27"/>
      <c r="R3278" s="27"/>
    </row>
    <row r="3279" spans="1:18">
      <c r="A3279" s="28"/>
      <c r="B3279" s="29"/>
      <c r="C3279" s="29"/>
      <c r="D3279" s="29"/>
      <c r="E3279" s="29"/>
      <c r="H3279" s="27"/>
      <c r="K3279"/>
      <c r="P3279" s="27"/>
      <c r="Q3279" s="27"/>
      <c r="R3279" s="27"/>
    </row>
    <row r="3280" spans="1:18">
      <c r="A3280" s="28"/>
      <c r="B3280" s="29"/>
      <c r="C3280" s="29"/>
      <c r="D3280" s="29"/>
      <c r="E3280" s="29"/>
      <c r="H3280" s="27"/>
      <c r="K3280"/>
      <c r="P3280" s="27"/>
      <c r="Q3280" s="27"/>
      <c r="R3280" s="27"/>
    </row>
    <row r="3281" spans="1:18">
      <c r="A3281" s="28"/>
      <c r="B3281" s="29"/>
      <c r="C3281" s="29"/>
      <c r="D3281" s="29"/>
      <c r="E3281" s="29"/>
      <c r="H3281" s="27"/>
      <c r="K3281"/>
      <c r="P3281" s="27"/>
      <c r="Q3281" s="27"/>
      <c r="R3281" s="27"/>
    </row>
    <row r="3282" spans="1:18">
      <c r="A3282" s="28"/>
      <c r="B3282" s="29"/>
      <c r="C3282" s="29"/>
      <c r="D3282" s="29"/>
      <c r="E3282" s="29"/>
      <c r="H3282" s="27"/>
      <c r="K3282"/>
      <c r="P3282" s="27"/>
      <c r="Q3282" s="27"/>
      <c r="R3282" s="27"/>
    </row>
    <row r="3283" spans="1:18">
      <c r="A3283" s="28"/>
      <c r="B3283" s="29"/>
      <c r="C3283" s="29"/>
      <c r="D3283" s="29"/>
      <c r="E3283" s="29"/>
      <c r="H3283" s="27"/>
      <c r="K3283"/>
      <c r="P3283" s="27"/>
      <c r="Q3283" s="27"/>
      <c r="R3283" s="27"/>
    </row>
    <row r="3284" spans="1:18">
      <c r="A3284" s="28"/>
      <c r="B3284" s="29"/>
      <c r="C3284" s="29"/>
      <c r="D3284" s="29"/>
      <c r="E3284" s="29"/>
      <c r="H3284" s="27"/>
      <c r="K3284"/>
      <c r="P3284" s="27"/>
      <c r="Q3284" s="27"/>
      <c r="R3284" s="27"/>
    </row>
    <row r="3285" spans="1:18">
      <c r="A3285" s="28"/>
      <c r="B3285" s="29"/>
      <c r="C3285" s="29"/>
      <c r="D3285" s="29"/>
      <c r="E3285" s="29"/>
      <c r="H3285" s="27"/>
      <c r="K3285"/>
      <c r="P3285" s="27"/>
      <c r="Q3285" s="27"/>
      <c r="R3285" s="27"/>
    </row>
    <row r="3286" spans="1:18">
      <c r="A3286" s="28"/>
      <c r="B3286" s="29"/>
      <c r="C3286" s="29"/>
      <c r="D3286" s="29"/>
      <c r="E3286" s="29"/>
      <c r="H3286" s="27"/>
      <c r="K3286"/>
      <c r="P3286" s="27"/>
      <c r="Q3286" s="27"/>
      <c r="R3286" s="27"/>
    </row>
    <row r="3287" spans="1:18">
      <c r="A3287" s="28"/>
      <c r="B3287" s="29"/>
      <c r="C3287" s="29"/>
      <c r="D3287" s="29"/>
      <c r="E3287" s="29"/>
      <c r="H3287" s="27"/>
      <c r="K3287"/>
      <c r="P3287" s="27"/>
      <c r="Q3287" s="27"/>
      <c r="R3287" s="27"/>
    </row>
    <row r="3288" spans="1:18">
      <c r="A3288" s="28"/>
      <c r="B3288" s="29"/>
      <c r="C3288" s="29"/>
      <c r="D3288" s="29"/>
      <c r="E3288" s="29"/>
      <c r="H3288" s="27"/>
      <c r="K3288"/>
      <c r="P3288" s="27"/>
      <c r="Q3288" s="27"/>
      <c r="R3288" s="27"/>
    </row>
    <row r="3289" spans="1:18">
      <c r="A3289" s="28"/>
      <c r="B3289" s="29"/>
      <c r="C3289" s="29"/>
      <c r="D3289" s="29"/>
      <c r="E3289" s="29"/>
      <c r="H3289" s="27"/>
      <c r="K3289"/>
      <c r="P3289" s="27"/>
      <c r="Q3289" s="27"/>
      <c r="R3289" s="27"/>
    </row>
    <row r="3290" spans="1:18">
      <c r="A3290" s="28"/>
      <c r="B3290" s="29"/>
      <c r="C3290" s="29"/>
      <c r="D3290" s="29"/>
      <c r="E3290" s="29"/>
      <c r="H3290" s="27"/>
      <c r="K3290"/>
      <c r="P3290" s="27"/>
      <c r="Q3290" s="27"/>
      <c r="R3290" s="27"/>
    </row>
    <row r="3291" spans="1:18">
      <c r="A3291" s="28"/>
      <c r="B3291" s="29"/>
      <c r="C3291" s="29"/>
      <c r="D3291" s="29"/>
      <c r="E3291" s="29"/>
      <c r="H3291" s="27"/>
      <c r="K3291"/>
      <c r="P3291" s="27"/>
      <c r="Q3291" s="27"/>
      <c r="R3291" s="27"/>
    </row>
    <row r="3292" spans="1:18">
      <c r="A3292" s="28"/>
      <c r="B3292" s="29"/>
      <c r="C3292" s="29"/>
      <c r="D3292" s="29"/>
      <c r="E3292" s="29"/>
      <c r="H3292" s="27"/>
      <c r="K3292"/>
      <c r="P3292" s="27"/>
      <c r="Q3292" s="27"/>
      <c r="R3292" s="27"/>
    </row>
    <row r="3293" spans="1:18">
      <c r="A3293" s="28"/>
      <c r="B3293" s="29"/>
      <c r="C3293" s="29"/>
      <c r="D3293" s="29"/>
      <c r="E3293" s="29"/>
      <c r="H3293" s="27"/>
      <c r="K3293"/>
      <c r="P3293" s="27"/>
      <c r="Q3293" s="27"/>
      <c r="R3293" s="27"/>
    </row>
    <row r="3294" spans="1:18">
      <c r="A3294" s="28"/>
      <c r="B3294" s="29"/>
      <c r="C3294" s="29"/>
      <c r="D3294" s="29"/>
      <c r="E3294" s="29"/>
      <c r="H3294" s="27"/>
      <c r="K3294"/>
      <c r="P3294" s="27"/>
      <c r="Q3294" s="27"/>
      <c r="R3294" s="27"/>
    </row>
    <row r="3295" spans="1:18">
      <c r="A3295" s="28"/>
      <c r="B3295" s="29"/>
      <c r="C3295" s="29"/>
      <c r="D3295" s="29"/>
      <c r="E3295" s="29"/>
      <c r="H3295" s="27"/>
      <c r="K3295"/>
      <c r="P3295" s="27"/>
      <c r="Q3295" s="27"/>
      <c r="R3295" s="27"/>
    </row>
    <row r="3296" spans="1:18">
      <c r="A3296" s="28"/>
      <c r="B3296" s="29"/>
      <c r="C3296" s="29"/>
      <c r="D3296" s="29"/>
      <c r="E3296" s="29"/>
      <c r="H3296" s="27"/>
      <c r="K3296"/>
      <c r="P3296" s="27"/>
      <c r="Q3296" s="27"/>
      <c r="R3296" s="27"/>
    </row>
    <row r="3297" spans="1:18">
      <c r="A3297" s="28"/>
      <c r="B3297" s="29"/>
      <c r="C3297" s="29"/>
      <c r="D3297" s="29"/>
      <c r="E3297" s="29"/>
      <c r="H3297" s="27"/>
      <c r="K3297"/>
      <c r="P3297" s="27"/>
      <c r="Q3297" s="27"/>
      <c r="R3297" s="27"/>
    </row>
    <row r="3298" spans="1:18">
      <c r="A3298" s="28"/>
      <c r="B3298" s="29"/>
      <c r="C3298" s="29"/>
      <c r="D3298" s="29"/>
      <c r="E3298" s="29"/>
      <c r="H3298" s="27"/>
      <c r="K3298"/>
      <c r="P3298" s="27"/>
      <c r="Q3298" s="27"/>
      <c r="R3298" s="27"/>
    </row>
    <row r="3299" spans="1:18">
      <c r="A3299" s="28"/>
      <c r="B3299" s="29"/>
      <c r="C3299" s="29"/>
      <c r="D3299" s="29"/>
      <c r="E3299" s="29"/>
      <c r="H3299" s="27"/>
      <c r="K3299"/>
      <c r="P3299" s="27"/>
      <c r="Q3299" s="27"/>
      <c r="R3299" s="27"/>
    </row>
    <row r="3300" spans="1:18">
      <c r="A3300" s="28"/>
      <c r="B3300" s="29"/>
      <c r="C3300" s="29"/>
      <c r="D3300" s="29"/>
      <c r="E3300" s="29"/>
      <c r="H3300" s="27"/>
      <c r="K3300"/>
      <c r="P3300" s="27"/>
      <c r="Q3300" s="27"/>
      <c r="R3300" s="27"/>
    </row>
    <row r="3301" spans="1:18">
      <c r="A3301" s="28"/>
      <c r="B3301" s="29"/>
      <c r="C3301" s="29"/>
      <c r="D3301" s="29"/>
      <c r="E3301" s="29"/>
      <c r="H3301" s="27"/>
      <c r="K3301"/>
      <c r="P3301" s="27"/>
      <c r="Q3301" s="27"/>
      <c r="R3301" s="27"/>
    </row>
    <row r="3302" spans="1:18">
      <c r="A3302" s="28"/>
      <c r="B3302" s="29"/>
      <c r="C3302" s="29"/>
      <c r="D3302" s="29"/>
      <c r="E3302" s="29"/>
      <c r="H3302" s="27"/>
      <c r="K3302"/>
      <c r="P3302" s="27"/>
      <c r="Q3302" s="27"/>
      <c r="R3302" s="27"/>
    </row>
    <row r="3303" spans="1:18">
      <c r="A3303" s="28"/>
      <c r="B3303" s="29"/>
      <c r="C3303" s="29"/>
      <c r="D3303" s="29"/>
      <c r="E3303" s="29"/>
      <c r="H3303" s="27"/>
      <c r="K3303"/>
      <c r="P3303" s="27"/>
      <c r="Q3303" s="27"/>
      <c r="R3303" s="27"/>
    </row>
    <row r="3304" spans="1:18">
      <c r="A3304" s="28"/>
      <c r="B3304" s="29"/>
      <c r="C3304" s="29"/>
      <c r="D3304" s="29"/>
      <c r="E3304" s="29"/>
      <c r="H3304" s="27"/>
      <c r="K3304"/>
      <c r="P3304" s="27"/>
      <c r="Q3304" s="27"/>
      <c r="R3304" s="27"/>
    </row>
    <row r="3305" spans="1:18">
      <c r="A3305" s="28"/>
      <c r="B3305" s="29"/>
      <c r="C3305" s="29"/>
      <c r="D3305" s="29"/>
      <c r="E3305" s="29"/>
      <c r="H3305" s="27"/>
      <c r="K3305"/>
      <c r="P3305" s="27"/>
      <c r="Q3305" s="27"/>
      <c r="R3305" s="27"/>
    </row>
    <row r="3306" spans="1:18">
      <c r="A3306" s="28"/>
      <c r="B3306" s="29"/>
      <c r="C3306" s="29"/>
      <c r="D3306" s="29"/>
      <c r="E3306" s="29"/>
      <c r="H3306" s="27"/>
      <c r="K3306"/>
      <c r="P3306" s="27"/>
      <c r="Q3306" s="27"/>
      <c r="R3306" s="27"/>
    </row>
    <row r="3307" spans="1:18">
      <c r="A3307" s="28"/>
      <c r="B3307" s="29"/>
      <c r="C3307" s="29"/>
      <c r="D3307" s="29"/>
      <c r="E3307" s="29"/>
      <c r="H3307" s="27"/>
      <c r="K3307"/>
      <c r="P3307" s="27"/>
      <c r="Q3307" s="27"/>
      <c r="R3307" s="27"/>
    </row>
    <row r="3308" spans="1:18">
      <c r="A3308" s="28"/>
      <c r="B3308" s="29"/>
      <c r="C3308" s="29"/>
      <c r="D3308" s="29"/>
      <c r="E3308" s="29"/>
      <c r="H3308" s="27"/>
      <c r="K3308"/>
      <c r="P3308" s="27"/>
      <c r="Q3308" s="27"/>
      <c r="R3308" s="27"/>
    </row>
    <row r="3309" spans="1:18">
      <c r="A3309" s="28"/>
      <c r="B3309" s="29"/>
      <c r="C3309" s="29"/>
      <c r="D3309" s="29"/>
      <c r="E3309" s="29"/>
      <c r="H3309" s="27"/>
      <c r="K3309"/>
      <c r="P3309" s="27"/>
      <c r="Q3309" s="27"/>
      <c r="R3309" s="27"/>
    </row>
    <row r="3310" spans="1:18">
      <c r="A3310" s="28"/>
      <c r="B3310" s="29"/>
      <c r="C3310" s="29"/>
      <c r="D3310" s="29"/>
      <c r="E3310" s="29"/>
      <c r="H3310" s="27"/>
      <c r="K3310"/>
      <c r="P3310" s="27"/>
      <c r="Q3310" s="27"/>
      <c r="R3310" s="27"/>
    </row>
    <row r="3311" spans="1:18">
      <c r="A3311" s="28"/>
      <c r="B3311" s="29"/>
      <c r="C3311" s="29"/>
      <c r="D3311" s="29"/>
      <c r="E3311" s="29"/>
      <c r="H3311" s="27"/>
      <c r="K3311"/>
      <c r="P3311" s="27"/>
      <c r="Q3311" s="27"/>
      <c r="R3311" s="27"/>
    </row>
    <row r="3312" spans="1:18">
      <c r="A3312" s="28"/>
      <c r="B3312" s="29"/>
      <c r="C3312" s="29"/>
      <c r="D3312" s="29"/>
      <c r="E3312" s="29"/>
      <c r="H3312" s="27"/>
      <c r="K3312"/>
      <c r="P3312" s="27"/>
      <c r="Q3312" s="27"/>
      <c r="R3312" s="27"/>
    </row>
    <row r="3313" spans="1:18">
      <c r="A3313" s="28"/>
      <c r="B3313" s="29"/>
      <c r="C3313" s="29"/>
      <c r="D3313" s="29"/>
      <c r="E3313" s="29"/>
      <c r="H3313" s="27"/>
      <c r="K3313"/>
      <c r="P3313" s="27"/>
      <c r="Q3313" s="27"/>
      <c r="R3313" s="27"/>
    </row>
    <row r="3314" spans="1:18">
      <c r="A3314" s="28"/>
      <c r="B3314" s="29"/>
      <c r="C3314" s="29"/>
      <c r="D3314" s="29"/>
      <c r="E3314" s="29"/>
      <c r="H3314" s="27"/>
      <c r="K3314"/>
      <c r="P3314" s="27"/>
      <c r="Q3314" s="27"/>
      <c r="R3314" s="27"/>
    </row>
    <row r="3315" spans="1:18">
      <c r="A3315" s="28"/>
      <c r="B3315" s="29"/>
      <c r="C3315" s="29"/>
      <c r="D3315" s="29"/>
      <c r="E3315" s="29"/>
      <c r="H3315" s="27"/>
      <c r="K3315"/>
      <c r="P3315" s="27"/>
      <c r="Q3315" s="27"/>
      <c r="R3315" s="27"/>
    </row>
    <row r="3316" spans="1:18">
      <c r="A3316" s="28"/>
      <c r="B3316" s="29"/>
      <c r="C3316" s="29"/>
      <c r="D3316" s="29"/>
      <c r="E3316" s="29"/>
      <c r="H3316" s="27"/>
      <c r="K3316"/>
      <c r="P3316" s="27"/>
      <c r="Q3316" s="27"/>
      <c r="R3316" s="27"/>
    </row>
    <row r="3317" spans="1:18">
      <c r="A3317" s="28"/>
      <c r="B3317" s="29"/>
      <c r="C3317" s="29"/>
      <c r="D3317" s="29"/>
      <c r="E3317" s="29"/>
      <c r="H3317" s="27"/>
      <c r="K3317"/>
      <c r="P3317" s="27"/>
      <c r="Q3317" s="27"/>
      <c r="R3317" s="27"/>
    </row>
    <row r="3318" spans="1:18">
      <c r="A3318" s="28"/>
      <c r="B3318" s="29"/>
      <c r="C3318" s="29"/>
      <c r="D3318" s="29"/>
      <c r="E3318" s="29"/>
      <c r="H3318" s="27"/>
      <c r="K3318"/>
      <c r="P3318" s="27"/>
      <c r="Q3318" s="27"/>
      <c r="R3318" s="27"/>
    </row>
    <row r="3319" spans="1:18">
      <c r="A3319" s="28"/>
      <c r="B3319" s="29"/>
      <c r="C3319" s="29"/>
      <c r="D3319" s="29"/>
      <c r="E3319" s="29"/>
      <c r="H3319" s="27"/>
      <c r="K3319"/>
      <c r="P3319" s="27"/>
      <c r="Q3319" s="27"/>
      <c r="R3319" s="27"/>
    </row>
    <row r="3320" spans="1:18">
      <c r="A3320" s="28"/>
      <c r="B3320" s="29"/>
      <c r="C3320" s="29"/>
      <c r="D3320" s="29"/>
      <c r="E3320" s="29"/>
      <c r="H3320" s="27"/>
      <c r="K3320"/>
      <c r="P3320" s="27"/>
      <c r="Q3320" s="27"/>
      <c r="R3320" s="27"/>
    </row>
    <row r="3321" spans="1:18">
      <c r="A3321" s="28"/>
      <c r="B3321" s="29"/>
      <c r="C3321" s="29"/>
      <c r="D3321" s="29"/>
      <c r="E3321" s="29"/>
      <c r="H3321" s="27"/>
      <c r="K3321"/>
      <c r="P3321" s="27"/>
      <c r="Q3321" s="27"/>
      <c r="R3321" s="27"/>
    </row>
    <row r="3322" spans="1:18">
      <c r="A3322" s="28"/>
      <c r="B3322" s="29"/>
      <c r="C3322" s="29"/>
      <c r="D3322" s="29"/>
      <c r="E3322" s="29"/>
      <c r="H3322" s="27"/>
      <c r="K3322"/>
      <c r="P3322" s="27"/>
      <c r="Q3322" s="27"/>
      <c r="R3322" s="27"/>
    </row>
    <row r="3323" spans="1:18">
      <c r="A3323" s="28"/>
      <c r="B3323" s="29"/>
      <c r="C3323" s="29"/>
      <c r="D3323" s="29"/>
      <c r="E3323" s="29"/>
      <c r="H3323" s="27"/>
      <c r="K3323"/>
      <c r="P3323" s="27"/>
      <c r="Q3323" s="27"/>
      <c r="R3323" s="27"/>
    </row>
    <row r="3324" spans="1:18">
      <c r="A3324" s="28"/>
      <c r="B3324" s="29"/>
      <c r="C3324" s="29"/>
      <c r="D3324" s="29"/>
      <c r="E3324" s="29"/>
      <c r="H3324" s="27"/>
      <c r="K3324"/>
      <c r="P3324" s="27"/>
      <c r="Q3324" s="27"/>
      <c r="R3324" s="27"/>
    </row>
    <row r="3325" spans="1:18">
      <c r="A3325" s="28"/>
      <c r="B3325" s="29"/>
      <c r="C3325" s="29"/>
      <c r="D3325" s="29"/>
      <c r="E3325" s="29"/>
      <c r="H3325" s="27"/>
      <c r="K3325"/>
      <c r="P3325" s="27"/>
      <c r="Q3325" s="27"/>
      <c r="R3325" s="27"/>
    </row>
    <row r="3326" spans="1:18">
      <c r="A3326" s="28"/>
      <c r="B3326" s="29"/>
      <c r="C3326" s="29"/>
      <c r="D3326" s="29"/>
      <c r="E3326" s="29"/>
      <c r="H3326" s="27"/>
      <c r="K3326"/>
      <c r="P3326" s="27"/>
      <c r="Q3326" s="27"/>
      <c r="R3326" s="27"/>
    </row>
    <row r="3327" spans="1:18">
      <c r="A3327" s="28"/>
      <c r="B3327" s="29"/>
      <c r="C3327" s="29"/>
      <c r="D3327" s="29"/>
      <c r="E3327" s="29"/>
      <c r="H3327" s="27"/>
      <c r="K3327"/>
      <c r="P3327" s="27"/>
      <c r="Q3327" s="27"/>
      <c r="R3327" s="27"/>
    </row>
    <row r="3328" spans="1:18">
      <c r="A3328" s="28"/>
      <c r="B3328" s="29"/>
      <c r="C3328" s="29"/>
      <c r="D3328" s="29"/>
      <c r="E3328" s="29"/>
      <c r="H3328" s="27"/>
      <c r="K3328"/>
      <c r="P3328" s="27"/>
      <c r="Q3328" s="27"/>
      <c r="R3328" s="27"/>
    </row>
    <row r="3329" spans="1:18">
      <c r="A3329" s="28"/>
      <c r="B3329" s="29"/>
      <c r="C3329" s="29"/>
      <c r="D3329" s="29"/>
      <c r="E3329" s="29"/>
      <c r="H3329" s="27"/>
      <c r="K3329"/>
      <c r="P3329" s="27"/>
      <c r="Q3329" s="27"/>
      <c r="R3329" s="27"/>
    </row>
    <row r="3330" spans="1:18">
      <c r="A3330" s="28"/>
      <c r="B3330" s="29"/>
      <c r="C3330" s="29"/>
      <c r="D3330" s="29"/>
      <c r="E3330" s="29"/>
      <c r="H3330" s="27"/>
      <c r="K3330"/>
      <c r="P3330" s="27"/>
      <c r="Q3330" s="27"/>
      <c r="R3330" s="27"/>
    </row>
    <row r="3331" spans="1:18">
      <c r="A3331" s="28"/>
      <c r="B3331" s="29"/>
      <c r="C3331" s="29"/>
      <c r="D3331" s="29"/>
      <c r="E3331" s="29"/>
      <c r="H3331" s="27"/>
      <c r="K3331"/>
      <c r="P3331" s="27"/>
      <c r="Q3331" s="27"/>
      <c r="R3331" s="27"/>
    </row>
    <row r="3332" spans="1:18">
      <c r="A3332" s="28"/>
      <c r="B3332" s="29"/>
      <c r="C3332" s="29"/>
      <c r="D3332" s="29"/>
      <c r="E3332" s="29"/>
      <c r="H3332" s="27"/>
      <c r="K3332"/>
      <c r="P3332" s="27"/>
      <c r="Q3332" s="27"/>
      <c r="R3332" s="27"/>
    </row>
    <row r="3333" spans="1:18">
      <c r="A3333" s="28"/>
      <c r="B3333" s="29"/>
      <c r="C3333" s="29"/>
      <c r="D3333" s="29"/>
      <c r="E3333" s="29"/>
      <c r="H3333" s="27"/>
      <c r="K3333"/>
      <c r="P3333" s="27"/>
      <c r="Q3333" s="27"/>
      <c r="R3333" s="27"/>
    </row>
    <row r="3334" spans="1:18">
      <c r="A3334" s="28"/>
      <c r="B3334" s="29"/>
      <c r="C3334" s="29"/>
      <c r="D3334" s="29"/>
      <c r="E3334" s="29"/>
      <c r="H3334" s="27"/>
      <c r="K3334"/>
      <c r="P3334" s="27"/>
      <c r="Q3334" s="27"/>
      <c r="R3334" s="27"/>
    </row>
    <row r="3335" spans="1:18">
      <c r="A3335" s="28"/>
      <c r="B3335" s="29"/>
      <c r="C3335" s="29"/>
      <c r="D3335" s="29"/>
      <c r="E3335" s="29"/>
      <c r="H3335" s="27"/>
      <c r="K3335"/>
      <c r="P3335" s="27"/>
      <c r="Q3335" s="27"/>
      <c r="R3335" s="27"/>
    </row>
    <row r="3336" spans="1:18">
      <c r="A3336" s="28"/>
      <c r="B3336" s="29"/>
      <c r="C3336" s="29"/>
      <c r="D3336" s="29"/>
      <c r="E3336" s="29"/>
      <c r="H3336" s="27"/>
      <c r="K3336"/>
      <c r="P3336" s="27"/>
      <c r="Q3336" s="27"/>
      <c r="R3336" s="27"/>
    </row>
    <row r="3337" spans="1:18">
      <c r="A3337" s="28"/>
      <c r="B3337" s="29"/>
      <c r="C3337" s="29"/>
      <c r="D3337" s="29"/>
      <c r="E3337" s="29"/>
      <c r="H3337" s="27"/>
      <c r="K3337"/>
      <c r="P3337" s="27"/>
      <c r="Q3337" s="27"/>
      <c r="R3337" s="27"/>
    </row>
    <row r="3338" spans="1:18">
      <c r="A3338" s="28"/>
      <c r="B3338" s="29"/>
      <c r="C3338" s="29"/>
      <c r="D3338" s="29"/>
      <c r="E3338" s="29"/>
      <c r="H3338" s="27"/>
      <c r="K3338"/>
      <c r="P3338" s="27"/>
      <c r="Q3338" s="27"/>
      <c r="R3338" s="27"/>
    </row>
    <row r="3339" spans="1:18">
      <c r="A3339" s="28"/>
      <c r="B3339" s="29"/>
      <c r="C3339" s="29"/>
      <c r="D3339" s="29"/>
      <c r="E3339" s="29"/>
      <c r="H3339" s="27"/>
      <c r="K3339"/>
      <c r="P3339" s="27"/>
      <c r="Q3339" s="27"/>
      <c r="R3339" s="27"/>
    </row>
    <row r="3340" spans="1:18">
      <c r="A3340" s="28"/>
      <c r="B3340" s="29"/>
      <c r="C3340" s="29"/>
      <c r="D3340" s="29"/>
      <c r="E3340" s="29"/>
      <c r="H3340" s="27"/>
      <c r="K3340"/>
      <c r="P3340" s="27"/>
      <c r="Q3340" s="27"/>
      <c r="R3340" s="27"/>
    </row>
    <row r="3341" spans="1:18">
      <c r="A3341" s="28"/>
      <c r="B3341" s="29"/>
      <c r="C3341" s="29"/>
      <c r="D3341" s="29"/>
      <c r="E3341" s="29"/>
      <c r="H3341" s="27"/>
      <c r="K3341"/>
      <c r="P3341" s="27"/>
      <c r="Q3341" s="27"/>
      <c r="R3341" s="27"/>
    </row>
    <row r="3342" spans="1:18">
      <c r="A3342" s="28"/>
      <c r="B3342" s="29"/>
      <c r="C3342" s="29"/>
      <c r="D3342" s="29"/>
      <c r="E3342" s="29"/>
      <c r="H3342" s="27"/>
      <c r="K3342"/>
      <c r="P3342" s="27"/>
      <c r="Q3342" s="27"/>
      <c r="R3342" s="27"/>
    </row>
    <row r="3343" spans="1:18">
      <c r="A3343" s="28"/>
      <c r="B3343" s="29"/>
      <c r="C3343" s="29"/>
      <c r="D3343" s="29"/>
      <c r="E3343" s="29"/>
      <c r="H3343" s="27"/>
      <c r="K3343"/>
      <c r="P3343" s="27"/>
      <c r="Q3343" s="27"/>
      <c r="R3343" s="27"/>
    </row>
    <row r="3344" spans="1:18">
      <c r="A3344" s="28"/>
      <c r="B3344" s="29"/>
      <c r="C3344" s="29"/>
      <c r="D3344" s="29"/>
      <c r="E3344" s="29"/>
      <c r="H3344" s="27"/>
      <c r="K3344"/>
      <c r="P3344" s="27"/>
      <c r="Q3344" s="27"/>
      <c r="R3344" s="27"/>
    </row>
    <row r="3345" spans="1:18">
      <c r="A3345" s="28"/>
      <c r="B3345" s="29"/>
      <c r="C3345" s="29"/>
      <c r="D3345" s="29"/>
      <c r="E3345" s="29"/>
      <c r="H3345" s="27"/>
      <c r="K3345"/>
      <c r="P3345" s="27"/>
      <c r="Q3345" s="27"/>
      <c r="R3345" s="27"/>
    </row>
    <row r="3346" spans="1:18">
      <c r="A3346" s="28"/>
      <c r="B3346" s="29"/>
      <c r="C3346" s="29"/>
      <c r="D3346" s="29"/>
      <c r="E3346" s="29"/>
      <c r="H3346" s="27"/>
      <c r="K3346"/>
      <c r="P3346" s="27"/>
      <c r="Q3346" s="27"/>
      <c r="R3346" s="27"/>
    </row>
    <row r="3347" spans="1:18">
      <c r="A3347" s="28"/>
      <c r="B3347" s="29"/>
      <c r="C3347" s="29"/>
      <c r="D3347" s="29"/>
      <c r="E3347" s="29"/>
      <c r="H3347" s="27"/>
      <c r="K3347"/>
      <c r="P3347" s="27"/>
      <c r="Q3347" s="27"/>
      <c r="R3347" s="27"/>
    </row>
    <row r="3348" spans="1:18">
      <c r="A3348" s="28"/>
      <c r="B3348" s="29"/>
      <c r="C3348" s="29"/>
      <c r="D3348" s="29"/>
      <c r="E3348" s="29"/>
      <c r="H3348" s="27"/>
      <c r="K3348"/>
      <c r="P3348" s="27"/>
      <c r="Q3348" s="27"/>
      <c r="R3348" s="27"/>
    </row>
    <row r="3349" spans="1:18">
      <c r="A3349" s="28"/>
      <c r="B3349" s="29"/>
      <c r="C3349" s="29"/>
      <c r="D3349" s="29"/>
      <c r="E3349" s="29"/>
      <c r="H3349" s="27"/>
      <c r="K3349"/>
      <c r="P3349" s="27"/>
      <c r="Q3349" s="27"/>
      <c r="R3349" s="27"/>
    </row>
    <row r="3350" spans="1:18">
      <c r="A3350" s="28"/>
      <c r="B3350" s="29"/>
      <c r="C3350" s="29"/>
      <c r="D3350" s="29"/>
      <c r="E3350" s="29"/>
      <c r="H3350" s="27"/>
      <c r="K3350"/>
      <c r="P3350" s="27"/>
      <c r="Q3350" s="27"/>
      <c r="R3350" s="27"/>
    </row>
    <row r="3351" spans="1:18">
      <c r="A3351" s="28"/>
      <c r="B3351" s="29"/>
      <c r="C3351" s="29"/>
      <c r="D3351" s="29"/>
      <c r="E3351" s="29"/>
      <c r="H3351" s="27"/>
      <c r="K3351"/>
      <c r="P3351" s="27"/>
      <c r="Q3351" s="27"/>
      <c r="R3351" s="27"/>
    </row>
    <row r="3352" spans="1:18">
      <c r="A3352" s="28"/>
      <c r="B3352" s="29"/>
      <c r="C3352" s="29"/>
      <c r="D3352" s="29"/>
      <c r="E3352" s="29"/>
      <c r="H3352" s="27"/>
      <c r="K3352"/>
      <c r="P3352" s="27"/>
      <c r="Q3352" s="27"/>
      <c r="R3352" s="27"/>
    </row>
    <row r="3353" spans="1:18">
      <c r="A3353" s="28"/>
      <c r="B3353" s="29"/>
      <c r="C3353" s="29"/>
      <c r="D3353" s="29"/>
      <c r="E3353" s="29"/>
      <c r="H3353" s="27"/>
      <c r="K3353"/>
      <c r="P3353" s="27"/>
      <c r="Q3353" s="27"/>
      <c r="R3353" s="27"/>
    </row>
    <row r="3354" spans="1:18">
      <c r="A3354" s="28"/>
      <c r="B3354" s="29"/>
      <c r="C3354" s="29"/>
      <c r="D3354" s="29"/>
      <c r="E3354" s="29"/>
      <c r="H3354" s="27"/>
      <c r="K3354"/>
      <c r="P3354" s="27"/>
      <c r="Q3354" s="27"/>
      <c r="R3354" s="27"/>
    </row>
    <row r="3355" spans="1:18">
      <c r="A3355" s="28"/>
      <c r="B3355" s="29"/>
      <c r="C3355" s="29"/>
      <c r="D3355" s="29"/>
      <c r="E3355" s="29"/>
      <c r="H3355" s="27"/>
      <c r="K3355"/>
      <c r="P3355" s="27"/>
      <c r="Q3355" s="27"/>
      <c r="R3355" s="27"/>
    </row>
    <row r="3356" spans="1:18">
      <c r="A3356" s="28"/>
      <c r="B3356" s="29"/>
      <c r="C3356" s="29"/>
      <c r="D3356" s="29"/>
      <c r="E3356" s="29"/>
      <c r="H3356" s="27"/>
      <c r="K3356"/>
      <c r="P3356" s="27"/>
      <c r="Q3356" s="27"/>
      <c r="R3356" s="27"/>
    </row>
    <row r="3357" spans="1:18">
      <c r="A3357" s="28"/>
      <c r="B3357" s="29"/>
      <c r="C3357" s="29"/>
      <c r="D3357" s="29"/>
      <c r="E3357" s="29"/>
      <c r="H3357" s="27"/>
      <c r="K3357"/>
      <c r="P3357" s="27"/>
      <c r="Q3357" s="27"/>
      <c r="R3357" s="27"/>
    </row>
    <row r="3358" spans="1:18">
      <c r="A3358" s="28"/>
      <c r="B3358" s="29"/>
      <c r="C3358" s="29"/>
      <c r="D3358" s="29"/>
      <c r="E3358" s="29"/>
      <c r="H3358" s="27"/>
      <c r="K3358"/>
      <c r="P3358" s="27"/>
      <c r="Q3358" s="27"/>
      <c r="R3358" s="27"/>
    </row>
    <row r="3359" spans="1:18">
      <c r="A3359" s="28"/>
      <c r="B3359" s="29"/>
      <c r="C3359" s="29"/>
      <c r="D3359" s="29"/>
      <c r="E3359" s="29"/>
      <c r="H3359" s="27"/>
      <c r="K3359"/>
      <c r="P3359" s="27"/>
      <c r="Q3359" s="27"/>
      <c r="R3359" s="27"/>
    </row>
    <row r="3360" spans="1:18">
      <c r="A3360" s="28"/>
      <c r="B3360" s="29"/>
      <c r="C3360" s="29"/>
      <c r="D3360" s="29"/>
      <c r="E3360" s="29"/>
      <c r="H3360" s="27"/>
      <c r="K3360"/>
      <c r="P3360" s="27"/>
      <c r="Q3360" s="27"/>
      <c r="R3360" s="27"/>
    </row>
    <row r="3361" spans="1:18">
      <c r="A3361" s="28"/>
      <c r="B3361" s="29"/>
      <c r="C3361" s="29"/>
      <c r="D3361" s="29"/>
      <c r="E3361" s="29"/>
      <c r="H3361" s="27"/>
      <c r="K3361"/>
      <c r="P3361" s="27"/>
      <c r="Q3361" s="27"/>
      <c r="R3361" s="27"/>
    </row>
    <row r="3362" spans="1:18">
      <c r="A3362" s="28"/>
      <c r="B3362" s="29"/>
      <c r="C3362" s="29"/>
      <c r="D3362" s="29"/>
      <c r="E3362" s="29"/>
      <c r="H3362" s="27"/>
      <c r="K3362"/>
      <c r="P3362" s="27"/>
      <c r="Q3362" s="27"/>
      <c r="R3362" s="27"/>
    </row>
    <row r="3363" spans="1:18">
      <c r="A3363" s="28"/>
      <c r="B3363" s="29"/>
      <c r="C3363" s="29"/>
      <c r="D3363" s="29"/>
      <c r="E3363" s="29"/>
      <c r="H3363" s="27"/>
      <c r="K3363"/>
      <c r="P3363" s="27"/>
      <c r="Q3363" s="27"/>
      <c r="R3363" s="27"/>
    </row>
    <row r="3364" spans="1:18">
      <c r="A3364" s="28"/>
      <c r="B3364" s="29"/>
      <c r="C3364" s="29"/>
      <c r="D3364" s="29"/>
      <c r="E3364" s="29"/>
      <c r="H3364" s="27"/>
      <c r="K3364"/>
      <c r="P3364" s="27"/>
      <c r="Q3364" s="27"/>
      <c r="R3364" s="27"/>
    </row>
    <row r="3365" spans="1:18">
      <c r="A3365" s="28"/>
      <c r="B3365" s="29"/>
      <c r="C3365" s="29"/>
      <c r="D3365" s="29"/>
      <c r="E3365" s="29"/>
      <c r="H3365" s="27"/>
      <c r="K3365"/>
      <c r="P3365" s="27"/>
      <c r="Q3365" s="27"/>
      <c r="R3365" s="27"/>
    </row>
    <row r="3366" spans="1:18">
      <c r="A3366" s="28"/>
      <c r="B3366" s="29"/>
      <c r="C3366" s="29"/>
      <c r="D3366" s="29"/>
      <c r="E3366" s="29"/>
      <c r="H3366" s="27"/>
      <c r="K3366"/>
      <c r="P3366" s="27"/>
      <c r="Q3366" s="27"/>
      <c r="R3366" s="27"/>
    </row>
    <row r="3367" spans="1:18">
      <c r="A3367" s="28"/>
      <c r="B3367" s="29"/>
      <c r="C3367" s="29"/>
      <c r="D3367" s="29"/>
      <c r="E3367" s="29"/>
      <c r="H3367" s="27"/>
      <c r="K3367"/>
      <c r="P3367" s="27"/>
      <c r="Q3367" s="27"/>
      <c r="R3367" s="27"/>
    </row>
    <row r="3368" spans="1:18">
      <c r="A3368" s="28"/>
      <c r="B3368" s="29"/>
      <c r="C3368" s="29"/>
      <c r="D3368" s="29"/>
      <c r="E3368" s="29"/>
      <c r="H3368" s="27"/>
      <c r="K3368"/>
      <c r="P3368" s="27"/>
      <c r="Q3368" s="27"/>
      <c r="R3368" s="27"/>
    </row>
    <row r="3369" spans="1:18">
      <c r="A3369" s="28"/>
      <c r="B3369" s="29"/>
      <c r="C3369" s="29"/>
      <c r="D3369" s="29"/>
      <c r="E3369" s="29"/>
      <c r="H3369" s="27"/>
      <c r="K3369"/>
      <c r="P3369" s="27"/>
      <c r="Q3369" s="27"/>
      <c r="R3369" s="27"/>
    </row>
    <row r="3370" spans="1:18">
      <c r="A3370" s="28"/>
      <c r="B3370" s="29"/>
      <c r="C3370" s="29"/>
      <c r="D3370" s="29"/>
      <c r="E3370" s="29"/>
      <c r="H3370" s="27"/>
      <c r="K3370"/>
      <c r="P3370" s="27"/>
      <c r="Q3370" s="27"/>
      <c r="R3370" s="27"/>
    </row>
    <row r="3371" spans="1:18">
      <c r="A3371" s="28"/>
      <c r="B3371" s="29"/>
      <c r="C3371" s="29"/>
      <c r="D3371" s="29"/>
      <c r="E3371" s="29"/>
      <c r="H3371" s="27"/>
      <c r="K3371"/>
      <c r="P3371" s="27"/>
      <c r="Q3371" s="27"/>
      <c r="R3371" s="27"/>
    </row>
    <row r="3372" spans="1:18">
      <c r="A3372" s="28"/>
      <c r="B3372" s="29"/>
      <c r="C3372" s="29"/>
      <c r="D3372" s="29"/>
      <c r="E3372" s="29"/>
      <c r="H3372" s="27"/>
      <c r="K3372"/>
      <c r="P3372" s="27"/>
      <c r="Q3372" s="27"/>
      <c r="R3372" s="27"/>
    </row>
    <row r="3373" spans="1:18">
      <c r="A3373" s="28"/>
      <c r="B3373" s="29"/>
      <c r="C3373" s="29"/>
      <c r="D3373" s="29"/>
      <c r="E3373" s="29"/>
      <c r="H3373" s="27"/>
      <c r="K3373"/>
      <c r="P3373" s="27"/>
      <c r="Q3373" s="27"/>
      <c r="R3373" s="27"/>
    </row>
    <row r="3374" spans="1:18">
      <c r="A3374" s="28"/>
      <c r="B3374" s="29"/>
      <c r="C3374" s="29"/>
      <c r="D3374" s="29"/>
      <c r="E3374" s="29"/>
      <c r="H3374" s="27"/>
      <c r="K3374"/>
      <c r="P3374" s="27"/>
      <c r="Q3374" s="27"/>
      <c r="R3374" s="27"/>
    </row>
    <row r="3375" spans="1:18">
      <c r="A3375" s="28"/>
      <c r="B3375" s="29"/>
      <c r="C3375" s="29"/>
      <c r="D3375" s="29"/>
      <c r="E3375" s="29"/>
      <c r="H3375" s="27"/>
      <c r="K3375"/>
      <c r="P3375" s="27"/>
      <c r="Q3375" s="27"/>
      <c r="R3375" s="27"/>
    </row>
    <row r="3376" spans="1:18">
      <c r="A3376" s="28"/>
      <c r="B3376" s="29"/>
      <c r="C3376" s="29"/>
      <c r="D3376" s="29"/>
      <c r="E3376" s="29"/>
      <c r="H3376" s="27"/>
      <c r="K3376"/>
      <c r="P3376" s="27"/>
      <c r="Q3376" s="27"/>
      <c r="R3376" s="27"/>
    </row>
    <row r="3377" spans="1:18">
      <c r="A3377" s="28"/>
      <c r="B3377" s="29"/>
      <c r="C3377" s="29"/>
      <c r="D3377" s="29"/>
      <c r="E3377" s="29"/>
      <c r="H3377" s="27"/>
      <c r="K3377"/>
      <c r="P3377" s="27"/>
      <c r="Q3377" s="27"/>
      <c r="R3377" s="27"/>
    </row>
    <row r="3378" spans="1:18">
      <c r="A3378" s="28"/>
      <c r="B3378" s="29"/>
      <c r="C3378" s="29"/>
      <c r="D3378" s="29"/>
      <c r="E3378" s="29"/>
      <c r="H3378" s="27"/>
      <c r="K3378"/>
      <c r="P3378" s="27"/>
      <c r="Q3378" s="27"/>
      <c r="R3378" s="27"/>
    </row>
    <row r="3379" spans="1:18">
      <c r="A3379" s="28"/>
      <c r="B3379" s="29"/>
      <c r="C3379" s="29"/>
      <c r="D3379" s="29"/>
      <c r="E3379" s="29"/>
      <c r="H3379" s="27"/>
      <c r="K3379"/>
      <c r="P3379" s="27"/>
      <c r="Q3379" s="27"/>
      <c r="R3379" s="27"/>
    </row>
    <row r="3380" spans="1:18">
      <c r="A3380" s="28"/>
      <c r="B3380" s="29"/>
      <c r="C3380" s="29"/>
      <c r="D3380" s="29"/>
      <c r="E3380" s="29"/>
      <c r="H3380" s="27"/>
      <c r="K3380"/>
      <c r="P3380" s="27"/>
      <c r="Q3380" s="27"/>
      <c r="R3380" s="27"/>
    </row>
    <row r="3381" spans="1:18">
      <c r="A3381" s="28"/>
      <c r="B3381" s="29"/>
      <c r="C3381" s="29"/>
      <c r="D3381" s="29"/>
      <c r="E3381" s="29"/>
      <c r="H3381" s="27"/>
      <c r="K3381"/>
      <c r="P3381" s="27"/>
      <c r="Q3381" s="27"/>
      <c r="R3381" s="27"/>
    </row>
    <row r="3382" spans="1:18">
      <c r="A3382" s="28"/>
      <c r="B3382" s="29"/>
      <c r="C3382" s="29"/>
      <c r="D3382" s="29"/>
      <c r="E3382" s="29"/>
      <c r="H3382" s="27"/>
      <c r="K3382"/>
      <c r="P3382" s="27"/>
      <c r="Q3382" s="27"/>
      <c r="R3382" s="27"/>
    </row>
    <row r="3383" spans="1:18">
      <c r="A3383" s="28"/>
      <c r="B3383" s="29"/>
      <c r="C3383" s="29"/>
      <c r="D3383" s="29"/>
      <c r="E3383" s="29"/>
      <c r="H3383" s="27"/>
      <c r="K3383"/>
      <c r="P3383" s="27"/>
      <c r="Q3383" s="27"/>
      <c r="R3383" s="27"/>
    </row>
    <row r="3384" spans="1:18">
      <c r="A3384" s="28"/>
      <c r="B3384" s="29"/>
      <c r="C3384" s="29"/>
      <c r="D3384" s="29"/>
      <c r="E3384" s="29"/>
      <c r="H3384" s="27"/>
      <c r="K3384"/>
      <c r="P3384" s="27"/>
      <c r="Q3384" s="27"/>
      <c r="R3384" s="27"/>
    </row>
    <row r="3385" spans="1:18">
      <c r="A3385" s="28"/>
      <c r="B3385" s="29"/>
      <c r="C3385" s="29"/>
      <c r="D3385" s="29"/>
      <c r="E3385" s="29"/>
      <c r="H3385" s="27"/>
      <c r="K3385"/>
      <c r="P3385" s="27"/>
      <c r="Q3385" s="27"/>
      <c r="R3385" s="27"/>
    </row>
    <row r="3386" spans="1:18">
      <c r="A3386" s="28"/>
      <c r="B3386" s="29"/>
      <c r="C3386" s="29"/>
      <c r="D3386" s="29"/>
      <c r="E3386" s="29"/>
      <c r="H3386" s="27"/>
      <c r="K3386"/>
      <c r="P3386" s="27"/>
      <c r="Q3386" s="27"/>
      <c r="R3386" s="27"/>
    </row>
    <row r="3387" spans="1:18">
      <c r="A3387" s="28"/>
      <c r="B3387" s="29"/>
      <c r="C3387" s="29"/>
      <c r="D3387" s="29"/>
      <c r="E3387" s="29"/>
      <c r="H3387" s="27"/>
      <c r="K3387"/>
      <c r="P3387" s="27"/>
      <c r="Q3387" s="27"/>
      <c r="R3387" s="27"/>
    </row>
    <row r="3388" spans="1:18">
      <c r="A3388" s="28"/>
      <c r="B3388" s="29"/>
      <c r="C3388" s="29"/>
      <c r="D3388" s="29"/>
      <c r="E3388" s="29"/>
      <c r="H3388" s="27"/>
      <c r="K3388"/>
      <c r="P3388" s="27"/>
      <c r="Q3388" s="27"/>
      <c r="R3388" s="27"/>
    </row>
    <row r="3389" spans="1:18">
      <c r="A3389" s="28"/>
      <c r="B3389" s="29"/>
      <c r="C3389" s="29"/>
      <c r="D3389" s="29"/>
      <c r="E3389" s="29"/>
      <c r="H3389" s="27"/>
      <c r="K3389"/>
      <c r="P3389" s="27"/>
      <c r="Q3389" s="27"/>
      <c r="R3389" s="27"/>
    </row>
    <row r="3390" spans="1:18">
      <c r="A3390" s="28"/>
      <c r="B3390" s="29"/>
      <c r="C3390" s="29"/>
      <c r="D3390" s="29"/>
      <c r="E3390" s="29"/>
      <c r="H3390" s="27"/>
      <c r="K3390"/>
      <c r="P3390" s="27"/>
      <c r="Q3390" s="27"/>
      <c r="R3390" s="27"/>
    </row>
    <row r="3391" spans="1:18">
      <c r="A3391" s="28"/>
      <c r="B3391" s="29"/>
      <c r="C3391" s="29"/>
      <c r="D3391" s="29"/>
      <c r="E3391" s="29"/>
      <c r="H3391" s="27"/>
      <c r="K3391"/>
      <c r="P3391" s="27"/>
      <c r="Q3391" s="27"/>
      <c r="R3391" s="27"/>
    </row>
    <row r="3392" spans="1:18">
      <c r="A3392" s="28"/>
      <c r="B3392" s="29"/>
      <c r="C3392" s="29"/>
      <c r="D3392" s="29"/>
      <c r="E3392" s="29"/>
      <c r="H3392" s="27"/>
      <c r="K3392"/>
      <c r="P3392" s="27"/>
      <c r="Q3392" s="27"/>
      <c r="R3392" s="27"/>
    </row>
    <row r="3393" spans="1:18">
      <c r="A3393" s="28"/>
      <c r="B3393" s="29"/>
      <c r="C3393" s="29"/>
      <c r="D3393" s="29"/>
      <c r="E3393" s="29"/>
      <c r="H3393" s="27"/>
      <c r="K3393"/>
      <c r="P3393" s="27"/>
      <c r="Q3393" s="27"/>
      <c r="R3393" s="27"/>
    </row>
    <row r="3394" spans="1:18">
      <c r="A3394" s="28"/>
      <c r="B3394" s="29"/>
      <c r="C3394" s="29"/>
      <c r="D3394" s="29"/>
      <c r="E3394" s="29"/>
      <c r="H3394" s="27"/>
      <c r="K3394"/>
      <c r="P3394" s="27"/>
      <c r="Q3394" s="27"/>
      <c r="R3394" s="27"/>
    </row>
    <row r="3395" spans="1:18">
      <c r="A3395" s="28"/>
      <c r="B3395" s="29"/>
      <c r="C3395" s="29"/>
      <c r="D3395" s="29"/>
      <c r="E3395" s="29"/>
      <c r="H3395" s="27"/>
      <c r="K3395"/>
      <c r="P3395" s="27"/>
      <c r="Q3395" s="27"/>
      <c r="R3395" s="27"/>
    </row>
    <row r="3396" spans="1:18">
      <c r="A3396" s="28"/>
      <c r="B3396" s="29"/>
      <c r="C3396" s="29"/>
      <c r="D3396" s="29"/>
      <c r="E3396" s="29"/>
      <c r="H3396" s="27"/>
      <c r="K3396"/>
      <c r="P3396" s="27"/>
      <c r="Q3396" s="27"/>
      <c r="R3396" s="27"/>
    </row>
    <row r="3397" spans="1:18">
      <c r="A3397" s="28"/>
      <c r="B3397" s="29"/>
      <c r="C3397" s="29"/>
      <c r="D3397" s="29"/>
      <c r="E3397" s="29"/>
      <c r="H3397" s="27"/>
      <c r="K3397"/>
      <c r="P3397" s="27"/>
      <c r="Q3397" s="27"/>
      <c r="R3397" s="27"/>
    </row>
    <row r="3398" spans="1:18">
      <c r="A3398" s="28"/>
      <c r="B3398" s="29"/>
      <c r="C3398" s="29"/>
      <c r="D3398" s="29"/>
      <c r="E3398" s="29"/>
      <c r="H3398" s="27"/>
      <c r="K3398"/>
      <c r="P3398" s="27"/>
      <c r="Q3398" s="27"/>
      <c r="R3398" s="27"/>
    </row>
    <row r="3399" spans="1:18">
      <c r="A3399" s="28"/>
      <c r="B3399" s="29"/>
      <c r="C3399" s="29"/>
      <c r="D3399" s="29"/>
      <c r="E3399" s="29"/>
      <c r="H3399" s="27"/>
      <c r="K3399"/>
      <c r="P3399" s="27"/>
      <c r="Q3399" s="27"/>
      <c r="R3399" s="27"/>
    </row>
    <row r="3400" spans="1:18">
      <c r="A3400" s="28"/>
      <c r="B3400" s="29"/>
      <c r="C3400" s="29"/>
      <c r="D3400" s="29"/>
      <c r="E3400" s="29"/>
      <c r="H3400" s="27"/>
      <c r="K3400"/>
      <c r="P3400" s="27"/>
      <c r="Q3400" s="27"/>
      <c r="R3400" s="27"/>
    </row>
    <row r="3401" spans="1:18">
      <c r="A3401" s="28"/>
      <c r="B3401" s="29"/>
      <c r="C3401" s="29"/>
      <c r="D3401" s="29"/>
      <c r="E3401" s="29"/>
      <c r="H3401" s="27"/>
      <c r="K3401"/>
      <c r="P3401" s="27"/>
      <c r="Q3401" s="27"/>
      <c r="R3401" s="27"/>
    </row>
    <row r="3402" spans="1:18">
      <c r="A3402" s="28"/>
      <c r="B3402" s="29"/>
      <c r="C3402" s="29"/>
      <c r="D3402" s="29"/>
      <c r="E3402" s="29"/>
      <c r="H3402" s="27"/>
      <c r="K3402"/>
      <c r="P3402" s="27"/>
      <c r="Q3402" s="27"/>
      <c r="R3402" s="27"/>
    </row>
    <row r="3403" spans="1:18">
      <c r="A3403" s="28"/>
      <c r="B3403" s="29"/>
      <c r="C3403" s="29"/>
      <c r="D3403" s="29"/>
      <c r="E3403" s="29"/>
      <c r="H3403" s="27"/>
      <c r="K3403"/>
      <c r="P3403" s="27"/>
      <c r="Q3403" s="27"/>
      <c r="R3403" s="27"/>
    </row>
    <row r="3404" spans="1:18">
      <c r="A3404" s="28"/>
      <c r="B3404" s="29"/>
      <c r="C3404" s="29"/>
      <c r="D3404" s="29"/>
      <c r="E3404" s="29"/>
      <c r="H3404" s="27"/>
      <c r="K3404"/>
      <c r="P3404" s="27"/>
      <c r="Q3404" s="27"/>
      <c r="R3404" s="27"/>
    </row>
    <row r="3405" spans="1:18">
      <c r="A3405" s="28"/>
      <c r="B3405" s="29"/>
      <c r="C3405" s="29"/>
      <c r="D3405" s="29"/>
      <c r="E3405" s="29"/>
      <c r="H3405" s="27"/>
      <c r="K3405"/>
      <c r="P3405" s="27"/>
      <c r="Q3405" s="27"/>
      <c r="R3405" s="27"/>
    </row>
    <row r="3406" spans="1:18">
      <c r="A3406" s="28"/>
      <c r="B3406" s="29"/>
      <c r="C3406" s="29"/>
      <c r="D3406" s="29"/>
      <c r="E3406" s="29"/>
      <c r="H3406" s="27"/>
      <c r="K3406"/>
      <c r="P3406" s="27"/>
      <c r="Q3406" s="27"/>
      <c r="R3406" s="27"/>
    </row>
    <row r="3407" spans="1:18">
      <c r="A3407" s="28"/>
      <c r="B3407" s="29"/>
      <c r="C3407" s="29"/>
      <c r="D3407" s="29"/>
      <c r="E3407" s="29"/>
      <c r="H3407" s="27"/>
      <c r="K3407"/>
      <c r="P3407" s="27"/>
      <c r="Q3407" s="27"/>
      <c r="R3407" s="27"/>
    </row>
    <row r="3408" spans="1:18">
      <c r="A3408" s="28"/>
      <c r="B3408" s="29"/>
      <c r="C3408" s="29"/>
      <c r="D3408" s="29"/>
      <c r="E3408" s="29"/>
      <c r="H3408" s="27"/>
      <c r="K3408"/>
      <c r="P3408" s="27"/>
      <c r="Q3408" s="27"/>
      <c r="R3408" s="27"/>
    </row>
    <row r="3409" spans="1:18">
      <c r="A3409" s="28"/>
      <c r="B3409" s="29"/>
      <c r="C3409" s="29"/>
      <c r="D3409" s="29"/>
      <c r="E3409" s="29"/>
      <c r="H3409" s="27"/>
      <c r="K3409"/>
      <c r="P3409" s="27"/>
      <c r="Q3409" s="27"/>
      <c r="R3409" s="27"/>
    </row>
    <row r="3410" spans="1:18">
      <c r="A3410" s="28"/>
      <c r="B3410" s="29"/>
      <c r="C3410" s="29"/>
      <c r="D3410" s="29"/>
      <c r="E3410" s="29"/>
      <c r="H3410" s="27"/>
      <c r="K3410"/>
      <c r="P3410" s="27"/>
      <c r="Q3410" s="27"/>
      <c r="R3410" s="27"/>
    </row>
    <row r="3411" spans="1:18">
      <c r="A3411" s="28"/>
      <c r="B3411" s="29"/>
      <c r="C3411" s="29"/>
      <c r="D3411" s="29"/>
      <c r="E3411" s="29"/>
      <c r="H3411" s="27"/>
      <c r="K3411"/>
      <c r="P3411" s="27"/>
      <c r="Q3411" s="27"/>
      <c r="R3411" s="27"/>
    </row>
    <row r="3412" spans="1:18">
      <c r="A3412" s="28"/>
      <c r="B3412" s="29"/>
      <c r="C3412" s="29"/>
      <c r="D3412" s="29"/>
      <c r="E3412" s="29"/>
      <c r="H3412" s="27"/>
      <c r="K3412"/>
      <c r="P3412" s="27"/>
      <c r="Q3412" s="27"/>
      <c r="R3412" s="27"/>
    </row>
    <row r="3413" spans="1:18">
      <c r="A3413" s="28"/>
      <c r="B3413" s="29"/>
      <c r="C3413" s="29"/>
      <c r="D3413" s="29"/>
      <c r="E3413" s="29"/>
      <c r="H3413" s="27"/>
      <c r="K3413"/>
      <c r="P3413" s="27"/>
      <c r="Q3413" s="27"/>
      <c r="R3413" s="27"/>
    </row>
    <row r="3414" spans="1:18">
      <c r="A3414" s="28"/>
      <c r="B3414" s="29"/>
      <c r="C3414" s="29"/>
      <c r="D3414" s="29"/>
      <c r="E3414" s="29"/>
      <c r="H3414" s="27"/>
      <c r="K3414"/>
      <c r="P3414" s="27"/>
      <c r="Q3414" s="27"/>
      <c r="R3414" s="27"/>
    </row>
    <row r="3415" spans="1:18">
      <c r="A3415" s="28"/>
      <c r="B3415" s="29"/>
      <c r="C3415" s="29"/>
      <c r="D3415" s="29"/>
      <c r="E3415" s="29"/>
      <c r="H3415" s="27"/>
      <c r="K3415"/>
      <c r="P3415" s="27"/>
      <c r="Q3415" s="27"/>
      <c r="R3415" s="27"/>
    </row>
    <row r="3416" spans="1:18">
      <c r="A3416" s="28"/>
      <c r="B3416" s="29"/>
      <c r="C3416" s="29"/>
      <c r="D3416" s="29"/>
      <c r="E3416" s="29"/>
      <c r="H3416" s="27"/>
      <c r="K3416"/>
      <c r="P3416" s="27"/>
      <c r="Q3416" s="27"/>
      <c r="R3416" s="27"/>
    </row>
    <row r="3417" spans="1:18">
      <c r="A3417" s="28"/>
      <c r="B3417" s="29"/>
      <c r="C3417" s="29"/>
      <c r="D3417" s="29"/>
      <c r="E3417" s="29"/>
      <c r="H3417" s="27"/>
      <c r="K3417"/>
      <c r="P3417" s="27"/>
      <c r="Q3417" s="27"/>
      <c r="R3417" s="27"/>
    </row>
    <row r="3418" spans="1:18">
      <c r="A3418" s="28"/>
      <c r="B3418" s="29"/>
      <c r="C3418" s="29"/>
      <c r="D3418" s="29"/>
      <c r="E3418" s="29"/>
      <c r="H3418" s="27"/>
      <c r="K3418"/>
      <c r="P3418" s="27"/>
      <c r="Q3418" s="27"/>
      <c r="R3418" s="27"/>
    </row>
    <row r="3419" spans="1:18">
      <c r="A3419" s="28"/>
      <c r="B3419" s="29"/>
      <c r="C3419" s="29"/>
      <c r="D3419" s="29"/>
      <c r="E3419" s="29"/>
      <c r="H3419" s="27"/>
      <c r="K3419"/>
      <c r="P3419" s="27"/>
      <c r="Q3419" s="27"/>
      <c r="R3419" s="27"/>
    </row>
    <row r="3420" spans="1:18">
      <c r="A3420" s="28"/>
      <c r="B3420" s="29"/>
      <c r="C3420" s="29"/>
      <c r="D3420" s="29"/>
      <c r="E3420" s="29"/>
      <c r="H3420" s="27"/>
      <c r="K3420"/>
      <c r="P3420" s="27"/>
      <c r="Q3420" s="27"/>
      <c r="R3420" s="27"/>
    </row>
    <row r="3421" spans="1:18">
      <c r="A3421" s="28"/>
      <c r="B3421" s="29"/>
      <c r="C3421" s="29"/>
      <c r="D3421" s="29"/>
      <c r="E3421" s="29"/>
      <c r="H3421" s="27"/>
      <c r="K3421"/>
      <c r="P3421" s="27"/>
      <c r="Q3421" s="27"/>
      <c r="R3421" s="27"/>
    </row>
    <row r="3422" spans="1:18">
      <c r="A3422" s="28"/>
      <c r="B3422" s="29"/>
      <c r="C3422" s="29"/>
      <c r="D3422" s="29"/>
      <c r="E3422" s="29"/>
      <c r="H3422" s="27"/>
      <c r="K3422"/>
      <c r="P3422" s="27"/>
      <c r="Q3422" s="27"/>
      <c r="R3422" s="27"/>
    </row>
    <row r="3423" spans="1:18">
      <c r="A3423" s="28"/>
      <c r="B3423" s="29"/>
      <c r="C3423" s="29"/>
      <c r="D3423" s="29"/>
      <c r="E3423" s="29"/>
      <c r="H3423" s="27"/>
      <c r="K3423"/>
      <c r="P3423" s="27"/>
      <c r="Q3423" s="27"/>
      <c r="R3423" s="27"/>
    </row>
    <row r="3424" spans="1:18">
      <c r="A3424" s="28"/>
      <c r="B3424" s="29"/>
      <c r="C3424" s="29"/>
      <c r="D3424" s="29"/>
      <c r="E3424" s="29"/>
      <c r="H3424" s="27"/>
      <c r="K3424"/>
      <c r="P3424" s="27"/>
      <c r="Q3424" s="27"/>
      <c r="R3424" s="27"/>
    </row>
    <row r="3425" spans="1:18">
      <c r="A3425" s="28"/>
      <c r="B3425" s="29"/>
      <c r="C3425" s="29"/>
      <c r="D3425" s="29"/>
      <c r="E3425" s="29"/>
      <c r="H3425" s="27"/>
      <c r="K3425"/>
      <c r="P3425" s="27"/>
      <c r="Q3425" s="27"/>
      <c r="R3425" s="27"/>
    </row>
    <row r="3426" spans="1:18">
      <c r="A3426" s="28"/>
      <c r="B3426" s="29"/>
      <c r="C3426" s="29"/>
      <c r="D3426" s="29"/>
      <c r="E3426" s="29"/>
      <c r="H3426" s="27"/>
      <c r="K3426"/>
      <c r="P3426" s="27"/>
      <c r="Q3426" s="27"/>
      <c r="R3426" s="27"/>
    </row>
    <row r="3427" spans="1:18">
      <c r="A3427" s="28"/>
      <c r="B3427" s="29"/>
      <c r="C3427" s="29"/>
      <c r="D3427" s="29"/>
      <c r="E3427" s="29"/>
      <c r="H3427" s="27"/>
      <c r="K3427"/>
      <c r="P3427" s="27"/>
      <c r="Q3427" s="27"/>
      <c r="R3427" s="27"/>
    </row>
    <row r="3428" spans="1:18">
      <c r="A3428" s="28"/>
      <c r="B3428" s="29"/>
      <c r="C3428" s="29"/>
      <c r="D3428" s="29"/>
      <c r="E3428" s="29"/>
      <c r="H3428" s="27"/>
      <c r="K3428"/>
      <c r="P3428" s="27"/>
      <c r="Q3428" s="27"/>
      <c r="R3428" s="27"/>
    </row>
    <row r="3429" spans="1:18">
      <c r="A3429" s="28"/>
      <c r="B3429" s="29"/>
      <c r="C3429" s="29"/>
      <c r="D3429" s="29"/>
      <c r="E3429" s="29"/>
      <c r="H3429" s="27"/>
      <c r="K3429"/>
      <c r="P3429" s="27"/>
      <c r="Q3429" s="27"/>
      <c r="R3429" s="27"/>
    </row>
    <row r="3430" spans="1:18">
      <c r="A3430" s="28"/>
      <c r="B3430" s="29"/>
      <c r="C3430" s="29"/>
      <c r="D3430" s="29"/>
      <c r="E3430" s="29"/>
      <c r="H3430" s="27"/>
      <c r="K3430"/>
      <c r="P3430" s="27"/>
      <c r="Q3430" s="27"/>
      <c r="R3430" s="27"/>
    </row>
    <row r="3431" spans="1:18">
      <c r="A3431" s="28"/>
      <c r="B3431" s="29"/>
      <c r="C3431" s="29"/>
      <c r="D3431" s="29"/>
      <c r="E3431" s="29"/>
      <c r="H3431" s="27"/>
      <c r="K3431"/>
      <c r="P3431" s="27"/>
      <c r="Q3431" s="27"/>
      <c r="R3431" s="27"/>
    </row>
    <row r="3432" spans="1:18">
      <c r="A3432" s="28"/>
      <c r="B3432" s="29"/>
      <c r="C3432" s="29"/>
      <c r="D3432" s="29"/>
      <c r="E3432" s="29"/>
      <c r="H3432" s="27"/>
      <c r="K3432"/>
      <c r="P3432" s="27"/>
      <c r="Q3432" s="27"/>
      <c r="R3432" s="27"/>
    </row>
    <row r="3433" spans="1:18">
      <c r="A3433" s="28"/>
      <c r="B3433" s="29"/>
      <c r="C3433" s="29"/>
      <c r="D3433" s="29"/>
      <c r="E3433" s="29"/>
      <c r="H3433" s="27"/>
      <c r="K3433"/>
      <c r="P3433" s="27"/>
      <c r="Q3433" s="27"/>
      <c r="R3433" s="27"/>
    </row>
    <row r="3434" spans="1:18">
      <c r="A3434" s="28"/>
      <c r="B3434" s="29"/>
      <c r="C3434" s="29"/>
      <c r="D3434" s="29"/>
      <c r="E3434" s="29"/>
      <c r="H3434" s="27"/>
      <c r="K3434"/>
      <c r="P3434" s="27"/>
      <c r="Q3434" s="27"/>
      <c r="R3434" s="27"/>
    </row>
    <row r="3435" spans="1:18">
      <c r="A3435" s="28"/>
      <c r="B3435" s="29"/>
      <c r="C3435" s="29"/>
      <c r="D3435" s="29"/>
      <c r="E3435" s="29"/>
      <c r="H3435" s="27"/>
      <c r="K3435"/>
      <c r="P3435" s="27"/>
      <c r="Q3435" s="27"/>
      <c r="R3435" s="27"/>
    </row>
    <row r="3436" spans="1:18">
      <c r="A3436" s="28"/>
      <c r="B3436" s="29"/>
      <c r="C3436" s="29"/>
      <c r="D3436" s="29"/>
      <c r="E3436" s="29"/>
      <c r="H3436" s="27"/>
      <c r="K3436"/>
      <c r="P3436" s="27"/>
      <c r="Q3436" s="27"/>
      <c r="R3436" s="27"/>
    </row>
    <row r="3437" spans="1:18">
      <c r="A3437" s="28"/>
      <c r="B3437" s="29"/>
      <c r="C3437" s="29"/>
      <c r="D3437" s="29"/>
      <c r="E3437" s="29"/>
      <c r="H3437" s="27"/>
      <c r="K3437"/>
      <c r="P3437" s="27"/>
      <c r="Q3437" s="27"/>
      <c r="R3437" s="27"/>
    </row>
    <row r="3438" spans="1:18">
      <c r="A3438" s="28"/>
      <c r="B3438" s="29"/>
      <c r="C3438" s="29"/>
      <c r="D3438" s="29"/>
      <c r="E3438" s="29"/>
      <c r="H3438" s="27"/>
      <c r="K3438"/>
      <c r="P3438" s="27"/>
      <c r="Q3438" s="27"/>
      <c r="R3438" s="27"/>
    </row>
    <row r="3439" spans="1:18">
      <c r="A3439" s="28"/>
      <c r="B3439" s="29"/>
      <c r="C3439" s="29"/>
      <c r="D3439" s="29"/>
      <c r="E3439" s="29"/>
      <c r="H3439" s="27"/>
      <c r="K3439"/>
      <c r="P3439" s="27"/>
      <c r="Q3439" s="27"/>
      <c r="R3439" s="27"/>
    </row>
    <row r="3440" spans="1:18">
      <c r="A3440" s="28"/>
      <c r="B3440" s="29"/>
      <c r="C3440" s="29"/>
      <c r="D3440" s="29"/>
      <c r="E3440" s="29"/>
      <c r="H3440" s="27"/>
      <c r="K3440"/>
      <c r="P3440" s="27"/>
      <c r="Q3440" s="27"/>
      <c r="R3440" s="27"/>
    </row>
    <row r="3441" spans="1:18">
      <c r="A3441" s="28"/>
      <c r="B3441" s="29"/>
      <c r="C3441" s="29"/>
      <c r="D3441" s="29"/>
      <c r="E3441" s="29"/>
      <c r="H3441" s="27"/>
      <c r="K3441"/>
      <c r="P3441" s="27"/>
      <c r="Q3441" s="27"/>
      <c r="R3441" s="27"/>
    </row>
    <row r="3442" spans="1:18">
      <c r="A3442" s="28"/>
      <c r="B3442" s="29"/>
      <c r="C3442" s="29"/>
      <c r="D3442" s="29"/>
      <c r="E3442" s="29"/>
      <c r="H3442" s="27"/>
      <c r="K3442"/>
      <c r="P3442" s="27"/>
      <c r="Q3442" s="27"/>
      <c r="R3442" s="27"/>
    </row>
    <row r="3443" spans="1:18">
      <c r="A3443" s="28"/>
      <c r="B3443" s="29"/>
      <c r="C3443" s="29"/>
      <c r="D3443" s="29"/>
      <c r="E3443" s="29"/>
      <c r="H3443" s="27"/>
      <c r="K3443"/>
      <c r="P3443" s="27"/>
      <c r="Q3443" s="27"/>
      <c r="R3443" s="27"/>
    </row>
    <row r="3444" spans="1:18">
      <c r="A3444" s="28"/>
      <c r="B3444" s="29"/>
      <c r="C3444" s="29"/>
      <c r="D3444" s="29"/>
      <c r="E3444" s="29"/>
      <c r="H3444" s="27"/>
      <c r="K3444"/>
      <c r="P3444" s="27"/>
      <c r="Q3444" s="27"/>
      <c r="R3444" s="27"/>
    </row>
    <row r="3445" spans="1:18">
      <c r="A3445" s="28"/>
      <c r="B3445" s="29"/>
      <c r="C3445" s="29"/>
      <c r="D3445" s="29"/>
      <c r="E3445" s="29"/>
      <c r="H3445" s="27"/>
      <c r="K3445"/>
      <c r="P3445" s="27"/>
      <c r="Q3445" s="27"/>
      <c r="R3445" s="27"/>
    </row>
    <row r="3446" spans="1:18">
      <c r="A3446" s="28"/>
      <c r="B3446" s="29"/>
      <c r="C3446" s="29"/>
      <c r="D3446" s="29"/>
      <c r="E3446" s="29"/>
      <c r="H3446" s="27"/>
      <c r="K3446"/>
      <c r="P3446" s="27"/>
      <c r="Q3446" s="27"/>
      <c r="R3446" s="27"/>
    </row>
    <row r="3447" spans="1:18">
      <c r="A3447" s="28"/>
      <c r="B3447" s="29"/>
      <c r="C3447" s="29"/>
      <c r="D3447" s="29"/>
      <c r="E3447" s="29"/>
      <c r="H3447" s="27"/>
      <c r="K3447"/>
      <c r="P3447" s="27"/>
      <c r="Q3447" s="27"/>
      <c r="R3447" s="27"/>
    </row>
    <row r="3448" spans="1:18">
      <c r="A3448" s="28"/>
      <c r="B3448" s="29"/>
      <c r="C3448" s="29"/>
      <c r="D3448" s="29"/>
      <c r="E3448" s="29"/>
      <c r="H3448" s="27"/>
      <c r="K3448"/>
      <c r="P3448" s="27"/>
      <c r="Q3448" s="27"/>
      <c r="R3448" s="27"/>
    </row>
    <row r="3449" spans="1:18">
      <c r="A3449" s="28"/>
      <c r="B3449" s="29"/>
      <c r="C3449" s="29"/>
      <c r="D3449" s="29"/>
      <c r="E3449" s="29"/>
      <c r="H3449" s="27"/>
      <c r="K3449"/>
      <c r="P3449" s="27"/>
      <c r="Q3449" s="27"/>
      <c r="R3449" s="27"/>
    </row>
    <row r="3450" spans="1:18">
      <c r="A3450" s="28"/>
      <c r="B3450" s="29"/>
      <c r="C3450" s="29"/>
      <c r="D3450" s="29"/>
      <c r="E3450" s="29"/>
      <c r="H3450" s="27"/>
      <c r="K3450"/>
      <c r="P3450" s="27"/>
      <c r="Q3450" s="27"/>
      <c r="R3450" s="27"/>
    </row>
    <row r="3451" spans="1:18">
      <c r="A3451" s="28"/>
      <c r="B3451" s="29"/>
      <c r="C3451" s="29"/>
      <c r="D3451" s="29"/>
      <c r="E3451" s="29"/>
      <c r="H3451" s="27"/>
      <c r="K3451"/>
      <c r="P3451" s="27"/>
      <c r="Q3451" s="27"/>
      <c r="R3451" s="27"/>
    </row>
    <row r="3452" spans="1:18">
      <c r="A3452" s="28"/>
      <c r="B3452" s="29"/>
      <c r="C3452" s="29"/>
      <c r="D3452" s="29"/>
      <c r="E3452" s="29"/>
      <c r="H3452" s="27"/>
      <c r="K3452"/>
      <c r="P3452" s="27"/>
      <c r="Q3452" s="27"/>
      <c r="R3452" s="27"/>
    </row>
    <row r="3453" spans="1:18">
      <c r="A3453" s="28"/>
      <c r="B3453" s="29"/>
      <c r="C3453" s="29"/>
      <c r="D3453" s="29"/>
      <c r="E3453" s="29"/>
      <c r="H3453" s="27"/>
      <c r="K3453"/>
      <c r="P3453" s="27"/>
      <c r="Q3453" s="27"/>
      <c r="R3453" s="27"/>
    </row>
    <row r="3454" spans="1:18">
      <c r="A3454" s="28"/>
      <c r="B3454" s="29"/>
      <c r="C3454" s="29"/>
      <c r="D3454" s="29"/>
      <c r="E3454" s="29"/>
      <c r="H3454" s="27"/>
      <c r="K3454"/>
      <c r="P3454" s="27"/>
      <c r="Q3454" s="27"/>
      <c r="R3454" s="27"/>
    </row>
    <row r="3455" spans="1:18">
      <c r="A3455" s="28"/>
      <c r="B3455" s="29"/>
      <c r="C3455" s="29"/>
      <c r="D3455" s="29"/>
      <c r="E3455" s="29"/>
      <c r="H3455" s="27"/>
      <c r="K3455"/>
      <c r="P3455" s="27"/>
      <c r="Q3455" s="27"/>
      <c r="R3455" s="27"/>
    </row>
    <row r="3456" spans="1:18">
      <c r="A3456" s="28"/>
      <c r="B3456" s="29"/>
      <c r="C3456" s="29"/>
      <c r="D3456" s="29"/>
      <c r="E3456" s="29"/>
      <c r="H3456" s="27"/>
      <c r="K3456"/>
      <c r="P3456" s="27"/>
      <c r="Q3456" s="27"/>
      <c r="R3456" s="27"/>
    </row>
    <row r="3457" spans="1:18">
      <c r="A3457" s="28"/>
      <c r="B3457" s="29"/>
      <c r="C3457" s="29"/>
      <c r="D3457" s="29"/>
      <c r="E3457" s="29"/>
      <c r="H3457" s="27"/>
      <c r="K3457"/>
      <c r="P3457" s="27"/>
      <c r="Q3457" s="27"/>
      <c r="R3457" s="27"/>
    </row>
    <row r="3458" spans="1:18">
      <c r="A3458" s="28"/>
      <c r="B3458" s="29"/>
      <c r="C3458" s="29"/>
      <c r="D3458" s="29"/>
      <c r="E3458" s="29"/>
      <c r="H3458" s="27"/>
      <c r="K3458"/>
      <c r="P3458" s="27"/>
      <c r="Q3458" s="27"/>
      <c r="R3458" s="27"/>
    </row>
    <row r="3459" spans="1:18">
      <c r="A3459" s="28"/>
      <c r="B3459" s="29"/>
      <c r="C3459" s="29"/>
      <c r="D3459" s="29"/>
      <c r="E3459" s="29"/>
      <c r="H3459" s="27"/>
      <c r="K3459"/>
      <c r="P3459" s="27"/>
      <c r="Q3459" s="27"/>
      <c r="R3459" s="27"/>
    </row>
    <row r="3460" spans="1:18">
      <c r="A3460" s="28"/>
      <c r="B3460" s="29"/>
      <c r="C3460" s="29"/>
      <c r="D3460" s="29"/>
      <c r="E3460" s="29"/>
      <c r="H3460" s="27"/>
      <c r="K3460"/>
      <c r="P3460" s="27"/>
      <c r="Q3460" s="27"/>
      <c r="R3460" s="27"/>
    </row>
    <row r="3461" spans="1:18">
      <c r="A3461" s="28"/>
      <c r="B3461" s="29"/>
      <c r="C3461" s="29"/>
      <c r="D3461" s="29"/>
      <c r="E3461" s="29"/>
      <c r="H3461" s="27"/>
      <c r="K3461"/>
      <c r="P3461" s="27"/>
      <c r="Q3461" s="27"/>
      <c r="R3461" s="27"/>
    </row>
    <row r="3462" spans="1:18">
      <c r="A3462" s="28"/>
      <c r="B3462" s="29"/>
      <c r="C3462" s="29"/>
      <c r="D3462" s="29"/>
      <c r="E3462" s="29"/>
      <c r="H3462" s="27"/>
      <c r="K3462"/>
      <c r="P3462" s="27"/>
      <c r="Q3462" s="27"/>
      <c r="R3462" s="27"/>
    </row>
    <row r="3463" spans="1:18">
      <c r="A3463" s="28"/>
      <c r="B3463" s="29"/>
      <c r="C3463" s="29"/>
      <c r="D3463" s="29"/>
      <c r="E3463" s="29"/>
      <c r="H3463" s="27"/>
      <c r="K3463"/>
      <c r="P3463" s="27"/>
      <c r="Q3463" s="27"/>
      <c r="R3463" s="27"/>
    </row>
    <row r="3464" spans="1:18">
      <c r="A3464" s="28"/>
      <c r="B3464" s="29"/>
      <c r="C3464" s="29"/>
      <c r="D3464" s="29"/>
      <c r="E3464" s="29"/>
      <c r="H3464" s="27"/>
      <c r="K3464"/>
      <c r="P3464" s="27"/>
      <c r="Q3464" s="27"/>
      <c r="R3464" s="27"/>
    </row>
    <row r="3465" spans="1:18">
      <c r="A3465" s="28"/>
      <c r="B3465" s="29"/>
      <c r="C3465" s="29"/>
      <c r="D3465" s="29"/>
      <c r="E3465" s="29"/>
      <c r="H3465" s="27"/>
      <c r="K3465"/>
      <c r="P3465" s="27"/>
      <c r="Q3465" s="27"/>
      <c r="R3465" s="27"/>
    </row>
    <row r="3466" spans="1:18">
      <c r="A3466" s="28"/>
      <c r="B3466" s="29"/>
      <c r="C3466" s="29"/>
      <c r="D3466" s="29"/>
      <c r="E3466" s="29"/>
      <c r="H3466" s="27"/>
      <c r="K3466"/>
      <c r="P3466" s="27"/>
      <c r="Q3466" s="27"/>
      <c r="R3466" s="27"/>
    </row>
    <row r="3467" spans="1:18">
      <c r="A3467" s="28"/>
      <c r="B3467" s="29"/>
      <c r="C3467" s="29"/>
      <c r="D3467" s="29"/>
      <c r="E3467" s="29"/>
      <c r="H3467" s="27"/>
      <c r="K3467"/>
      <c r="P3467" s="27"/>
      <c r="Q3467" s="27"/>
      <c r="R3467" s="27"/>
    </row>
    <row r="3468" spans="1:18">
      <c r="A3468" s="28"/>
      <c r="B3468" s="29"/>
      <c r="C3468" s="29"/>
      <c r="D3468" s="29"/>
      <c r="E3468" s="29"/>
      <c r="H3468" s="27"/>
      <c r="K3468"/>
      <c r="P3468" s="27"/>
      <c r="Q3468" s="27"/>
      <c r="R3468" s="27"/>
    </row>
    <row r="3469" spans="1:18">
      <c r="A3469" s="28"/>
      <c r="B3469" s="29"/>
      <c r="C3469" s="29"/>
      <c r="D3469" s="29"/>
      <c r="E3469" s="29"/>
      <c r="H3469" s="27"/>
      <c r="K3469"/>
      <c r="P3469" s="27"/>
      <c r="Q3469" s="27"/>
      <c r="R3469" s="27"/>
    </row>
    <row r="3470" spans="1:18">
      <c r="A3470" s="28"/>
      <c r="B3470" s="29"/>
      <c r="C3470" s="29"/>
      <c r="D3470" s="29"/>
      <c r="E3470" s="29"/>
      <c r="H3470" s="27"/>
      <c r="K3470"/>
      <c r="P3470" s="27"/>
      <c r="Q3470" s="27"/>
      <c r="R3470" s="27"/>
    </row>
    <row r="3471" spans="1:18">
      <c r="A3471" s="28"/>
      <c r="B3471" s="29"/>
      <c r="C3471" s="29"/>
      <c r="D3471" s="29"/>
      <c r="E3471" s="29"/>
      <c r="H3471" s="27"/>
      <c r="K3471"/>
      <c r="P3471" s="27"/>
      <c r="Q3471" s="27"/>
      <c r="R3471" s="27"/>
    </row>
    <row r="3472" spans="1:18">
      <c r="A3472" s="28"/>
      <c r="B3472" s="29"/>
      <c r="C3472" s="29"/>
      <c r="D3472" s="29"/>
      <c r="E3472" s="29"/>
      <c r="H3472" s="27"/>
      <c r="K3472"/>
      <c r="P3472" s="27"/>
      <c r="Q3472" s="27"/>
      <c r="R3472" s="27"/>
    </row>
    <row r="3473" spans="1:18">
      <c r="A3473" s="28"/>
      <c r="B3473" s="29"/>
      <c r="C3473" s="29"/>
      <c r="D3473" s="29"/>
      <c r="E3473" s="29"/>
      <c r="H3473" s="27"/>
      <c r="K3473"/>
      <c r="P3473" s="27"/>
      <c r="Q3473" s="27"/>
      <c r="R3473" s="27"/>
    </row>
    <row r="3474" spans="1:18">
      <c r="A3474" s="28"/>
      <c r="B3474" s="29"/>
      <c r="C3474" s="29"/>
      <c r="D3474" s="29"/>
      <c r="E3474" s="29"/>
      <c r="H3474" s="27"/>
      <c r="K3474"/>
      <c r="P3474" s="27"/>
      <c r="Q3474" s="27"/>
      <c r="R3474" s="27"/>
    </row>
    <row r="3475" spans="1:18">
      <c r="A3475" s="28"/>
      <c r="B3475" s="29"/>
      <c r="C3475" s="29"/>
      <c r="D3475" s="29"/>
      <c r="E3475" s="29"/>
      <c r="H3475" s="27"/>
      <c r="K3475"/>
      <c r="P3475" s="27"/>
      <c r="Q3475" s="27"/>
      <c r="R3475" s="27"/>
    </row>
    <row r="3476" spans="1:18">
      <c r="A3476" s="28"/>
      <c r="B3476" s="29"/>
      <c r="C3476" s="29"/>
      <c r="D3476" s="29"/>
      <c r="E3476" s="29"/>
      <c r="H3476" s="27"/>
      <c r="K3476"/>
      <c r="P3476" s="27"/>
      <c r="Q3476" s="27"/>
      <c r="R3476" s="27"/>
    </row>
    <row r="3477" spans="1:18">
      <c r="A3477" s="28"/>
      <c r="B3477" s="29"/>
      <c r="C3477" s="29"/>
      <c r="D3477" s="29"/>
      <c r="E3477" s="29"/>
      <c r="H3477" s="27"/>
      <c r="K3477"/>
      <c r="P3477" s="27"/>
      <c r="Q3477" s="27"/>
      <c r="R3477" s="27"/>
    </row>
    <row r="3478" spans="1:18">
      <c r="A3478" s="28"/>
      <c r="B3478" s="29"/>
      <c r="C3478" s="29"/>
      <c r="D3478" s="29"/>
      <c r="E3478" s="29"/>
      <c r="H3478" s="27"/>
      <c r="K3478"/>
      <c r="P3478" s="27"/>
      <c r="Q3478" s="27"/>
      <c r="R3478" s="27"/>
    </row>
    <row r="3479" spans="1:18">
      <c r="A3479" s="28"/>
      <c r="B3479" s="29"/>
      <c r="C3479" s="29"/>
      <c r="D3479" s="29"/>
      <c r="E3479" s="29"/>
      <c r="H3479" s="27"/>
      <c r="K3479"/>
      <c r="P3479" s="27"/>
      <c r="Q3479" s="27"/>
      <c r="R3479" s="27"/>
    </row>
    <row r="3480" spans="1:18">
      <c r="A3480" s="28"/>
      <c r="B3480" s="29"/>
      <c r="C3480" s="29"/>
      <c r="D3480" s="29"/>
      <c r="E3480" s="29"/>
      <c r="H3480" s="27"/>
      <c r="K3480"/>
      <c r="P3480" s="27"/>
      <c r="Q3480" s="27"/>
      <c r="R3480" s="27"/>
    </row>
    <row r="3481" spans="1:18">
      <c r="A3481" s="28"/>
      <c r="B3481" s="29"/>
      <c r="C3481" s="29"/>
      <c r="D3481" s="29"/>
      <c r="E3481" s="29"/>
      <c r="H3481" s="27"/>
      <c r="K3481"/>
      <c r="P3481" s="27"/>
      <c r="Q3481" s="27"/>
      <c r="R3481" s="27"/>
    </row>
    <row r="3482" spans="1:18">
      <c r="A3482" s="28"/>
      <c r="B3482" s="29"/>
      <c r="C3482" s="29"/>
      <c r="D3482" s="29"/>
      <c r="E3482" s="29"/>
      <c r="H3482" s="27"/>
      <c r="K3482"/>
      <c r="P3482" s="27"/>
      <c r="Q3482" s="27"/>
      <c r="R3482" s="27"/>
    </row>
    <row r="3483" spans="1:18">
      <c r="A3483" s="28"/>
      <c r="B3483" s="29"/>
      <c r="C3483" s="29"/>
      <c r="D3483" s="29"/>
      <c r="E3483" s="29"/>
      <c r="H3483" s="27"/>
      <c r="K3483"/>
      <c r="P3483" s="27"/>
      <c r="Q3483" s="27"/>
      <c r="R3483" s="27"/>
    </row>
    <row r="3484" spans="1:18">
      <c r="A3484" s="28"/>
      <c r="B3484" s="29"/>
      <c r="C3484" s="29"/>
      <c r="D3484" s="29"/>
      <c r="E3484" s="29"/>
      <c r="H3484" s="27"/>
      <c r="K3484"/>
      <c r="P3484" s="27"/>
      <c r="Q3484" s="27"/>
      <c r="R3484" s="27"/>
    </row>
    <row r="3485" spans="1:18">
      <c r="A3485" s="28"/>
      <c r="B3485" s="29"/>
      <c r="C3485" s="29"/>
      <c r="D3485" s="29"/>
      <c r="E3485" s="29"/>
      <c r="H3485" s="27"/>
      <c r="K3485"/>
      <c r="P3485" s="27"/>
      <c r="Q3485" s="27"/>
      <c r="R3485" s="27"/>
    </row>
    <row r="3486" spans="1:18">
      <c r="A3486" s="28"/>
      <c r="B3486" s="29"/>
      <c r="C3486" s="29"/>
      <c r="D3486" s="29"/>
      <c r="E3486" s="29"/>
      <c r="H3486" s="27"/>
      <c r="K3486"/>
      <c r="P3486" s="27"/>
      <c r="Q3486" s="27"/>
      <c r="R3486" s="27"/>
    </row>
    <row r="3487" spans="1:18">
      <c r="A3487" s="28"/>
      <c r="B3487" s="29"/>
      <c r="C3487" s="29"/>
      <c r="D3487" s="29"/>
      <c r="E3487" s="29"/>
      <c r="H3487" s="27"/>
      <c r="K3487"/>
      <c r="P3487" s="27"/>
      <c r="Q3487" s="27"/>
      <c r="R3487" s="27"/>
    </row>
    <row r="3488" spans="1:18">
      <c r="A3488" s="28"/>
      <c r="B3488" s="29"/>
      <c r="C3488" s="29"/>
      <c r="D3488" s="29"/>
      <c r="E3488" s="29"/>
      <c r="H3488" s="27"/>
      <c r="K3488"/>
      <c r="P3488" s="27"/>
      <c r="Q3488" s="27"/>
      <c r="R3488" s="27"/>
    </row>
    <row r="3489" spans="1:18">
      <c r="A3489" s="28"/>
      <c r="B3489" s="29"/>
      <c r="C3489" s="29"/>
      <c r="D3489" s="29"/>
      <c r="E3489" s="29"/>
      <c r="H3489" s="27"/>
      <c r="K3489"/>
      <c r="P3489" s="27"/>
      <c r="Q3489" s="27"/>
      <c r="R3489" s="27"/>
    </row>
    <row r="3490" spans="1:18">
      <c r="A3490" s="28"/>
      <c r="B3490" s="29"/>
      <c r="C3490" s="29"/>
      <c r="D3490" s="29"/>
      <c r="E3490" s="29"/>
      <c r="H3490" s="27"/>
      <c r="K3490"/>
      <c r="P3490" s="27"/>
      <c r="Q3490" s="27"/>
      <c r="R3490" s="27"/>
    </row>
    <row r="3491" spans="1:18">
      <c r="A3491" s="28"/>
      <c r="B3491" s="29"/>
      <c r="C3491" s="29"/>
      <c r="D3491" s="29"/>
      <c r="E3491" s="29"/>
      <c r="H3491" s="27"/>
      <c r="K3491"/>
      <c r="P3491" s="27"/>
      <c r="Q3491" s="27"/>
      <c r="R3491" s="27"/>
    </row>
    <row r="3492" spans="1:18">
      <c r="A3492" s="28"/>
      <c r="B3492" s="29"/>
      <c r="C3492" s="29"/>
      <c r="D3492" s="29"/>
      <c r="E3492" s="29"/>
      <c r="H3492" s="27"/>
      <c r="K3492"/>
      <c r="P3492" s="27"/>
      <c r="Q3492" s="27"/>
      <c r="R3492" s="27"/>
    </row>
    <row r="3493" spans="1:18">
      <c r="A3493" s="28"/>
      <c r="B3493" s="29"/>
      <c r="C3493" s="29"/>
      <c r="D3493" s="29"/>
      <c r="E3493" s="29"/>
      <c r="H3493" s="27"/>
      <c r="K3493"/>
      <c r="P3493" s="27"/>
      <c r="Q3493" s="27"/>
      <c r="R3493" s="27"/>
    </row>
    <row r="3494" spans="1:18">
      <c r="A3494" s="28"/>
      <c r="B3494" s="29"/>
      <c r="C3494" s="29"/>
      <c r="D3494" s="29"/>
      <c r="E3494" s="29"/>
      <c r="H3494" s="27"/>
      <c r="K3494"/>
      <c r="P3494" s="27"/>
      <c r="Q3494" s="27"/>
      <c r="R3494" s="27"/>
    </row>
    <row r="3495" spans="1:18">
      <c r="A3495" s="28"/>
      <c r="B3495" s="29"/>
      <c r="C3495" s="29"/>
      <c r="D3495" s="29"/>
      <c r="E3495" s="29"/>
      <c r="H3495" s="27"/>
      <c r="K3495"/>
      <c r="P3495" s="27"/>
      <c r="Q3495" s="27"/>
      <c r="R3495" s="27"/>
    </row>
    <row r="3496" spans="1:18">
      <c r="A3496" s="28"/>
      <c r="B3496" s="29"/>
      <c r="C3496" s="29"/>
      <c r="D3496" s="29"/>
      <c r="E3496" s="29"/>
      <c r="H3496" s="27"/>
      <c r="K3496"/>
      <c r="P3496" s="27"/>
      <c r="Q3496" s="27"/>
      <c r="R3496" s="27"/>
    </row>
    <row r="3497" spans="1:18">
      <c r="A3497" s="28"/>
      <c r="B3497" s="29"/>
      <c r="C3497" s="29"/>
      <c r="D3497" s="29"/>
      <c r="E3497" s="29"/>
      <c r="H3497" s="27"/>
      <c r="K3497"/>
      <c r="P3497" s="27"/>
      <c r="Q3497" s="27"/>
      <c r="R3497" s="27"/>
    </row>
    <row r="3498" spans="1:18">
      <c r="A3498" s="28"/>
      <c r="B3498" s="29"/>
      <c r="C3498" s="29"/>
      <c r="D3498" s="29"/>
      <c r="E3498" s="29"/>
      <c r="H3498" s="27"/>
      <c r="K3498"/>
      <c r="P3498" s="27"/>
      <c r="Q3498" s="27"/>
      <c r="R3498" s="27"/>
    </row>
    <row r="3499" spans="1:18">
      <c r="A3499" s="28"/>
      <c r="B3499" s="29"/>
      <c r="C3499" s="29"/>
      <c r="D3499" s="29"/>
      <c r="E3499" s="29"/>
      <c r="H3499" s="27"/>
      <c r="K3499"/>
      <c r="P3499" s="27"/>
      <c r="Q3499" s="27"/>
      <c r="R3499" s="27"/>
    </row>
    <row r="3500" spans="1:18">
      <c r="A3500" s="28"/>
      <c r="B3500" s="29"/>
      <c r="C3500" s="29"/>
      <c r="D3500" s="29"/>
      <c r="E3500" s="29"/>
      <c r="H3500" s="27"/>
      <c r="K3500"/>
      <c r="P3500" s="27"/>
      <c r="Q3500" s="27"/>
      <c r="R3500" s="27"/>
    </row>
    <row r="3501" spans="1:18">
      <c r="A3501" s="28"/>
      <c r="B3501" s="29"/>
      <c r="C3501" s="29"/>
      <c r="D3501" s="29"/>
      <c r="E3501" s="29"/>
      <c r="H3501" s="27"/>
      <c r="K3501"/>
      <c r="P3501" s="27"/>
      <c r="Q3501" s="27"/>
      <c r="R3501" s="27"/>
    </row>
    <row r="3502" spans="1:18">
      <c r="A3502" s="28"/>
      <c r="B3502" s="29"/>
      <c r="C3502" s="29"/>
      <c r="D3502" s="29"/>
      <c r="E3502" s="29"/>
      <c r="H3502" s="27"/>
      <c r="K3502"/>
      <c r="P3502" s="27"/>
      <c r="Q3502" s="27"/>
      <c r="R3502" s="27"/>
    </row>
    <row r="3503" spans="1:18">
      <c r="A3503" s="28"/>
      <c r="B3503" s="29"/>
      <c r="C3503" s="29"/>
      <c r="D3503" s="29"/>
      <c r="E3503" s="29"/>
      <c r="H3503" s="27"/>
      <c r="K3503"/>
      <c r="P3503" s="27"/>
      <c r="Q3503" s="27"/>
      <c r="R3503" s="27"/>
    </row>
    <row r="3504" spans="1:18">
      <c r="A3504" s="28"/>
      <c r="B3504" s="29"/>
      <c r="C3504" s="29"/>
      <c r="D3504" s="29"/>
      <c r="E3504" s="29"/>
      <c r="H3504" s="27"/>
      <c r="K3504"/>
      <c r="P3504" s="27"/>
      <c r="Q3504" s="27"/>
      <c r="R3504" s="27"/>
    </row>
    <row r="3505" spans="1:18">
      <c r="A3505" s="28"/>
      <c r="B3505" s="29"/>
      <c r="C3505" s="29"/>
      <c r="D3505" s="29"/>
      <c r="E3505" s="29"/>
      <c r="H3505" s="27"/>
      <c r="K3505"/>
      <c r="P3505" s="27"/>
      <c r="Q3505" s="27"/>
      <c r="R3505" s="27"/>
    </row>
    <row r="3506" spans="1:18">
      <c r="A3506" s="28"/>
      <c r="B3506" s="29"/>
      <c r="C3506" s="29"/>
      <c r="D3506" s="29"/>
      <c r="E3506" s="29"/>
      <c r="H3506" s="27"/>
      <c r="K3506"/>
      <c r="P3506" s="27"/>
      <c r="Q3506" s="27"/>
      <c r="R3506" s="27"/>
    </row>
    <row r="3507" spans="1:18">
      <c r="A3507" s="28"/>
      <c r="B3507" s="29"/>
      <c r="C3507" s="29"/>
      <c r="D3507" s="29"/>
      <c r="E3507" s="29"/>
      <c r="H3507" s="27"/>
      <c r="K3507"/>
      <c r="P3507" s="27"/>
      <c r="Q3507" s="27"/>
      <c r="R3507" s="27"/>
    </row>
    <row r="3508" spans="1:18">
      <c r="A3508" s="28"/>
      <c r="B3508" s="29"/>
      <c r="C3508" s="29"/>
      <c r="D3508" s="29"/>
      <c r="E3508" s="29"/>
      <c r="H3508" s="27"/>
      <c r="K3508"/>
      <c r="P3508" s="27"/>
      <c r="Q3508" s="27"/>
      <c r="R3508" s="27"/>
    </row>
    <row r="3509" spans="1:18">
      <c r="A3509" s="28"/>
      <c r="B3509" s="29"/>
      <c r="C3509" s="29"/>
      <c r="D3509" s="29"/>
      <c r="E3509" s="29"/>
      <c r="H3509" s="27"/>
      <c r="K3509"/>
      <c r="P3509" s="27"/>
      <c r="Q3509" s="27"/>
      <c r="R3509" s="27"/>
    </row>
    <row r="3510" spans="1:18">
      <c r="A3510" s="28"/>
      <c r="B3510" s="29"/>
      <c r="C3510" s="29"/>
      <c r="D3510" s="29"/>
      <c r="E3510" s="29"/>
      <c r="H3510" s="27"/>
      <c r="K3510"/>
      <c r="P3510" s="27"/>
      <c r="Q3510" s="27"/>
      <c r="R3510" s="27"/>
    </row>
    <row r="3511" spans="1:18">
      <c r="A3511" s="28"/>
      <c r="B3511" s="29"/>
      <c r="C3511" s="29"/>
      <c r="D3511" s="29"/>
      <c r="E3511" s="29"/>
      <c r="H3511" s="27"/>
      <c r="K3511"/>
      <c r="P3511" s="27"/>
      <c r="Q3511" s="27"/>
      <c r="R3511" s="27"/>
    </row>
    <row r="3512" spans="1:18">
      <c r="A3512" s="28"/>
      <c r="B3512" s="29"/>
      <c r="C3512" s="29"/>
      <c r="D3512" s="29"/>
      <c r="E3512" s="29"/>
      <c r="H3512" s="27"/>
      <c r="K3512"/>
      <c r="P3512" s="27"/>
      <c r="Q3512" s="27"/>
      <c r="R3512" s="27"/>
    </row>
    <row r="3513" spans="1:18">
      <c r="A3513" s="28"/>
      <c r="B3513" s="29"/>
      <c r="C3513" s="29"/>
      <c r="D3513" s="29"/>
      <c r="E3513" s="29"/>
      <c r="H3513" s="27"/>
      <c r="K3513"/>
      <c r="P3513" s="27"/>
      <c r="Q3513" s="27"/>
      <c r="R3513" s="27"/>
    </row>
    <row r="3514" spans="1:18">
      <c r="A3514" s="28"/>
      <c r="B3514" s="29"/>
      <c r="C3514" s="29"/>
      <c r="D3514" s="29"/>
      <c r="E3514" s="29"/>
      <c r="H3514" s="27"/>
      <c r="K3514"/>
      <c r="P3514" s="27"/>
      <c r="Q3514" s="27"/>
      <c r="R3514" s="27"/>
    </row>
    <row r="3515" spans="1:18">
      <c r="A3515" s="28"/>
      <c r="B3515" s="29"/>
      <c r="C3515" s="29"/>
      <c r="D3515" s="29"/>
      <c r="E3515" s="29"/>
      <c r="H3515" s="27"/>
      <c r="K3515"/>
      <c r="P3515" s="27"/>
      <c r="Q3515" s="27"/>
      <c r="R3515" s="27"/>
    </row>
    <row r="3516" spans="1:18">
      <c r="A3516" s="28"/>
      <c r="B3516" s="29"/>
      <c r="C3516" s="29"/>
      <c r="D3516" s="29"/>
      <c r="E3516" s="29"/>
      <c r="H3516" s="27"/>
      <c r="K3516"/>
      <c r="P3516" s="27"/>
      <c r="Q3516" s="27"/>
      <c r="R3516" s="27"/>
    </row>
    <row r="3517" spans="1:18">
      <c r="A3517" s="28"/>
      <c r="B3517" s="29"/>
      <c r="C3517" s="29"/>
      <c r="D3517" s="29"/>
      <c r="E3517" s="29"/>
      <c r="H3517" s="27"/>
      <c r="K3517"/>
      <c r="P3517" s="27"/>
      <c r="Q3517" s="27"/>
      <c r="R3517" s="27"/>
    </row>
    <row r="3518" spans="1:18">
      <c r="A3518" s="28"/>
      <c r="B3518" s="29"/>
      <c r="C3518" s="29"/>
      <c r="D3518" s="29"/>
      <c r="E3518" s="29"/>
      <c r="H3518" s="27"/>
      <c r="K3518"/>
      <c r="P3518" s="27"/>
      <c r="Q3518" s="27"/>
      <c r="R3518" s="27"/>
    </row>
    <row r="3519" spans="1:18">
      <c r="A3519" s="28"/>
      <c r="B3519" s="29"/>
      <c r="C3519" s="29"/>
      <c r="D3519" s="29"/>
      <c r="E3519" s="29"/>
      <c r="H3519" s="27"/>
      <c r="K3519"/>
      <c r="P3519" s="27"/>
      <c r="Q3519" s="27"/>
      <c r="R3519" s="27"/>
    </row>
    <row r="3520" spans="1:18">
      <c r="A3520" s="28"/>
      <c r="B3520" s="29"/>
      <c r="C3520" s="29"/>
      <c r="D3520" s="29"/>
      <c r="E3520" s="29"/>
      <c r="H3520" s="27"/>
      <c r="K3520"/>
      <c r="P3520" s="27"/>
      <c r="Q3520" s="27"/>
      <c r="R3520" s="27"/>
    </row>
    <row r="3521" spans="1:18">
      <c r="A3521" s="28"/>
      <c r="B3521" s="29"/>
      <c r="C3521" s="29"/>
      <c r="D3521" s="29"/>
      <c r="E3521" s="29"/>
      <c r="H3521" s="27"/>
      <c r="K3521"/>
      <c r="P3521" s="27"/>
      <c r="Q3521" s="27"/>
      <c r="R3521" s="27"/>
    </row>
    <row r="3522" spans="1:18">
      <c r="A3522" s="28"/>
      <c r="B3522" s="29"/>
      <c r="C3522" s="29"/>
      <c r="D3522" s="29"/>
      <c r="E3522" s="29"/>
      <c r="H3522" s="27"/>
      <c r="K3522"/>
      <c r="P3522" s="27"/>
      <c r="Q3522" s="27"/>
      <c r="R3522" s="27"/>
    </row>
    <row r="3523" spans="1:18">
      <c r="A3523" s="28"/>
      <c r="B3523" s="29"/>
      <c r="C3523" s="29"/>
      <c r="D3523" s="29"/>
      <c r="E3523" s="29"/>
      <c r="H3523" s="27"/>
      <c r="K3523"/>
      <c r="P3523" s="27"/>
      <c r="Q3523" s="27"/>
      <c r="R3523" s="27"/>
    </row>
    <row r="3524" spans="1:18">
      <c r="A3524" s="28"/>
      <c r="B3524" s="29"/>
      <c r="C3524" s="29"/>
      <c r="D3524" s="29"/>
      <c r="E3524" s="29"/>
      <c r="H3524" s="27"/>
      <c r="K3524"/>
      <c r="P3524" s="27"/>
      <c r="Q3524" s="27"/>
      <c r="R3524" s="27"/>
    </row>
    <row r="3525" spans="1:18">
      <c r="A3525" s="28"/>
      <c r="B3525" s="29"/>
      <c r="C3525" s="29"/>
      <c r="D3525" s="29"/>
      <c r="E3525" s="29"/>
      <c r="H3525" s="27"/>
      <c r="K3525"/>
      <c r="P3525" s="27"/>
      <c r="Q3525" s="27"/>
      <c r="R3525" s="27"/>
    </row>
    <row r="3526" spans="1:18">
      <c r="A3526" s="28"/>
      <c r="B3526" s="29"/>
      <c r="C3526" s="29"/>
      <c r="D3526" s="29"/>
      <c r="E3526" s="29"/>
      <c r="H3526" s="27"/>
      <c r="K3526"/>
      <c r="P3526" s="27"/>
      <c r="Q3526" s="27"/>
      <c r="R3526" s="27"/>
    </row>
    <row r="3527" spans="1:18">
      <c r="A3527" s="28"/>
      <c r="B3527" s="29"/>
      <c r="C3527" s="29"/>
      <c r="D3527" s="29"/>
      <c r="E3527" s="29"/>
      <c r="H3527" s="27"/>
      <c r="K3527"/>
      <c r="P3527" s="27"/>
      <c r="Q3527" s="27"/>
      <c r="R3527" s="27"/>
    </row>
    <row r="3528" spans="1:18">
      <c r="A3528" s="28"/>
      <c r="B3528" s="29"/>
      <c r="C3528" s="29"/>
      <c r="D3528" s="29"/>
      <c r="E3528" s="29"/>
      <c r="H3528" s="27"/>
      <c r="K3528"/>
      <c r="P3528" s="27"/>
      <c r="Q3528" s="27"/>
      <c r="R3528" s="27"/>
    </row>
    <row r="3529" spans="1:18">
      <c r="A3529" s="28"/>
      <c r="B3529" s="29"/>
      <c r="C3529" s="29"/>
      <c r="D3529" s="29"/>
      <c r="E3529" s="29"/>
      <c r="H3529" s="27"/>
      <c r="K3529"/>
      <c r="P3529" s="27"/>
      <c r="Q3529" s="27"/>
      <c r="R3529" s="27"/>
    </row>
    <row r="3530" spans="1:18">
      <c r="A3530" s="28"/>
      <c r="B3530" s="29"/>
      <c r="C3530" s="29"/>
      <c r="D3530" s="29"/>
      <c r="E3530" s="29"/>
      <c r="H3530" s="27"/>
      <c r="K3530"/>
      <c r="P3530" s="27"/>
      <c r="Q3530" s="27"/>
      <c r="R3530" s="27"/>
    </row>
    <row r="3531" spans="1:18">
      <c r="A3531" s="28"/>
      <c r="B3531" s="29"/>
      <c r="C3531" s="29"/>
      <c r="D3531" s="29"/>
      <c r="E3531" s="29"/>
      <c r="H3531" s="27"/>
      <c r="K3531"/>
      <c r="P3531" s="27"/>
      <c r="Q3531" s="27"/>
      <c r="R3531" s="27"/>
    </row>
    <row r="3532" spans="1:18">
      <c r="A3532" s="28"/>
      <c r="B3532" s="29"/>
      <c r="C3532" s="29"/>
      <c r="D3532" s="29"/>
      <c r="E3532" s="29"/>
      <c r="H3532" s="27"/>
      <c r="K3532"/>
      <c r="P3532" s="27"/>
      <c r="Q3532" s="27"/>
      <c r="R3532" s="27"/>
    </row>
    <row r="3533" spans="1:18">
      <c r="A3533" s="28"/>
      <c r="B3533" s="29"/>
      <c r="C3533" s="29"/>
      <c r="D3533" s="29"/>
      <c r="E3533" s="29"/>
      <c r="H3533" s="27"/>
      <c r="K3533"/>
      <c r="P3533" s="27"/>
      <c r="Q3533" s="27"/>
      <c r="R3533" s="27"/>
    </row>
    <row r="3534" spans="1:18">
      <c r="A3534" s="28"/>
      <c r="B3534" s="29"/>
      <c r="C3534" s="29"/>
      <c r="D3534" s="29"/>
      <c r="E3534" s="29"/>
      <c r="H3534" s="27"/>
      <c r="K3534"/>
      <c r="P3534" s="27"/>
      <c r="Q3534" s="27"/>
      <c r="R3534" s="27"/>
    </row>
    <row r="3535" spans="1:18">
      <c r="A3535" s="28"/>
      <c r="B3535" s="29"/>
      <c r="C3535" s="29"/>
      <c r="D3535" s="29"/>
      <c r="E3535" s="29"/>
      <c r="H3535" s="27"/>
      <c r="K3535"/>
      <c r="P3535" s="27"/>
      <c r="Q3535" s="27"/>
      <c r="R3535" s="27"/>
    </row>
    <row r="3536" spans="1:18">
      <c r="A3536" s="28"/>
      <c r="B3536" s="29"/>
      <c r="C3536" s="29"/>
      <c r="D3536" s="29"/>
      <c r="E3536" s="29"/>
      <c r="H3536" s="27"/>
      <c r="K3536"/>
      <c r="P3536" s="27"/>
      <c r="Q3536" s="27"/>
      <c r="R3536" s="27"/>
    </row>
    <row r="3537" spans="1:18">
      <c r="A3537" s="28"/>
      <c r="B3537" s="29"/>
      <c r="C3537" s="29"/>
      <c r="D3537" s="29"/>
      <c r="E3537" s="29"/>
      <c r="H3537" s="27"/>
      <c r="K3537"/>
      <c r="P3537" s="27"/>
      <c r="Q3537" s="27"/>
      <c r="R3537" s="27"/>
    </row>
    <row r="3538" spans="1:18">
      <c r="A3538" s="28"/>
      <c r="B3538" s="29"/>
      <c r="C3538" s="29"/>
      <c r="D3538" s="29"/>
      <c r="E3538" s="29"/>
      <c r="H3538" s="27"/>
      <c r="K3538"/>
      <c r="P3538" s="27"/>
      <c r="Q3538" s="27"/>
      <c r="R3538" s="27"/>
    </row>
    <row r="3539" spans="1:18">
      <c r="A3539" s="28"/>
      <c r="B3539" s="29"/>
      <c r="C3539" s="29"/>
      <c r="D3539" s="29"/>
      <c r="E3539" s="29"/>
      <c r="H3539" s="27"/>
      <c r="K3539"/>
      <c r="P3539" s="27"/>
      <c r="Q3539" s="27"/>
      <c r="R3539" s="27"/>
    </row>
    <row r="3540" spans="1:18">
      <c r="A3540" s="28"/>
      <c r="B3540" s="29"/>
      <c r="C3540" s="29"/>
      <c r="D3540" s="29"/>
      <c r="E3540" s="29"/>
      <c r="H3540" s="27"/>
      <c r="K3540"/>
      <c r="P3540" s="27"/>
      <c r="Q3540" s="27"/>
      <c r="R3540" s="27"/>
    </row>
    <row r="3541" spans="1:18">
      <c r="A3541" s="28"/>
      <c r="B3541" s="29"/>
      <c r="C3541" s="29"/>
      <c r="D3541" s="29"/>
      <c r="E3541" s="29"/>
      <c r="H3541" s="27"/>
      <c r="K3541"/>
      <c r="P3541" s="27"/>
      <c r="Q3541" s="27"/>
      <c r="R3541" s="27"/>
    </row>
    <row r="3542" spans="1:18">
      <c r="A3542" s="28"/>
      <c r="B3542" s="29"/>
      <c r="C3542" s="29"/>
      <c r="D3542" s="29"/>
      <c r="E3542" s="29"/>
      <c r="H3542" s="27"/>
      <c r="K3542"/>
      <c r="P3542" s="27"/>
      <c r="Q3542" s="27"/>
      <c r="R3542" s="27"/>
    </row>
    <row r="3543" spans="1:18">
      <c r="A3543" s="28"/>
      <c r="B3543" s="29"/>
      <c r="C3543" s="29"/>
      <c r="D3543" s="29"/>
      <c r="E3543" s="29"/>
      <c r="H3543" s="27"/>
      <c r="K3543"/>
      <c r="P3543" s="27"/>
      <c r="Q3543" s="27"/>
      <c r="R3543" s="27"/>
    </row>
    <row r="3544" spans="1:18">
      <c r="A3544" s="28"/>
      <c r="B3544" s="29"/>
      <c r="C3544" s="29"/>
      <c r="D3544" s="29"/>
      <c r="E3544" s="29"/>
      <c r="H3544" s="27"/>
      <c r="K3544"/>
      <c r="P3544" s="27"/>
      <c r="Q3544" s="27"/>
      <c r="R3544" s="27"/>
    </row>
    <row r="3545" spans="1:18">
      <c r="A3545" s="28"/>
      <c r="B3545" s="29"/>
      <c r="C3545" s="29"/>
      <c r="D3545" s="29"/>
      <c r="E3545" s="29"/>
      <c r="H3545" s="27"/>
      <c r="K3545"/>
      <c r="P3545" s="27"/>
      <c r="Q3545" s="27"/>
      <c r="R3545" s="27"/>
    </row>
    <row r="3546" spans="1:18">
      <c r="A3546" s="28"/>
      <c r="B3546" s="29"/>
      <c r="C3546" s="29"/>
      <c r="D3546" s="29"/>
      <c r="E3546" s="29"/>
      <c r="H3546" s="27"/>
      <c r="K3546"/>
      <c r="P3546" s="27"/>
      <c r="Q3546" s="27"/>
      <c r="R3546" s="27"/>
    </row>
    <row r="3547" spans="1:18">
      <c r="A3547" s="28"/>
      <c r="B3547" s="29"/>
      <c r="C3547" s="29"/>
      <c r="D3547" s="29"/>
      <c r="E3547" s="29"/>
      <c r="H3547" s="27"/>
      <c r="K3547"/>
      <c r="P3547" s="27"/>
      <c r="Q3547" s="27"/>
      <c r="R3547" s="27"/>
    </row>
    <row r="3548" spans="1:18">
      <c r="A3548" s="28"/>
      <c r="B3548" s="29"/>
      <c r="C3548" s="29"/>
      <c r="D3548" s="29"/>
      <c r="E3548" s="29"/>
      <c r="H3548" s="27"/>
      <c r="K3548"/>
      <c r="P3548" s="27"/>
      <c r="Q3548" s="27"/>
      <c r="R3548" s="27"/>
    </row>
    <row r="3549" spans="1:18">
      <c r="A3549" s="28"/>
      <c r="B3549" s="29"/>
      <c r="C3549" s="29"/>
      <c r="D3549" s="29"/>
      <c r="E3549" s="29"/>
      <c r="H3549" s="27"/>
      <c r="K3549"/>
      <c r="P3549" s="27"/>
      <c r="Q3549" s="27"/>
      <c r="R3549" s="27"/>
    </row>
    <row r="3550" spans="1:18">
      <c r="A3550" s="28"/>
      <c r="B3550" s="29"/>
      <c r="C3550" s="29"/>
      <c r="D3550" s="29"/>
      <c r="E3550" s="29"/>
      <c r="H3550" s="27"/>
      <c r="K3550"/>
      <c r="P3550" s="27"/>
      <c r="Q3550" s="27"/>
      <c r="R3550" s="27"/>
    </row>
    <row r="3551" spans="1:18">
      <c r="A3551" s="28"/>
      <c r="B3551" s="29"/>
      <c r="C3551" s="29"/>
      <c r="D3551" s="29"/>
      <c r="E3551" s="29"/>
      <c r="H3551" s="27"/>
      <c r="K3551"/>
      <c r="P3551" s="27"/>
      <c r="Q3551" s="27"/>
      <c r="R3551" s="27"/>
    </row>
    <row r="3552" spans="1:18">
      <c r="A3552" s="28"/>
      <c r="B3552" s="29"/>
      <c r="C3552" s="29"/>
      <c r="D3552" s="29"/>
      <c r="E3552" s="29"/>
      <c r="H3552" s="27"/>
      <c r="K3552"/>
      <c r="P3552" s="27"/>
      <c r="Q3552" s="27"/>
      <c r="R3552" s="27"/>
    </row>
    <row r="3553" spans="1:18">
      <c r="A3553" s="28"/>
      <c r="B3553" s="29"/>
      <c r="C3553" s="29"/>
      <c r="D3553" s="29"/>
      <c r="E3553" s="29"/>
      <c r="H3553" s="27"/>
      <c r="K3553"/>
      <c r="P3553" s="27"/>
      <c r="Q3553" s="27"/>
      <c r="R3553" s="27"/>
    </row>
    <row r="3554" spans="1:18">
      <c r="A3554" s="28"/>
      <c r="B3554" s="29"/>
      <c r="C3554" s="29"/>
      <c r="D3554" s="29"/>
      <c r="E3554" s="29"/>
      <c r="H3554" s="27"/>
      <c r="K3554"/>
      <c r="P3554" s="27"/>
      <c r="Q3554" s="27"/>
      <c r="R3554" s="27"/>
    </row>
    <row r="3555" spans="1:18">
      <c r="A3555" s="28"/>
      <c r="B3555" s="29"/>
      <c r="C3555" s="29"/>
      <c r="D3555" s="29"/>
      <c r="E3555" s="29"/>
      <c r="H3555" s="27"/>
      <c r="K3555"/>
      <c r="P3555" s="27"/>
      <c r="Q3555" s="27"/>
      <c r="R3555" s="27"/>
    </row>
    <row r="3556" spans="1:18">
      <c r="A3556" s="28"/>
      <c r="B3556" s="29"/>
      <c r="C3556" s="29"/>
      <c r="D3556" s="29"/>
      <c r="E3556" s="29"/>
      <c r="H3556" s="27"/>
      <c r="K3556"/>
      <c r="P3556" s="27"/>
      <c r="Q3556" s="27"/>
      <c r="R3556" s="27"/>
    </row>
    <row r="3557" spans="1:18">
      <c r="A3557" s="28"/>
      <c r="B3557" s="29"/>
      <c r="C3557" s="29"/>
      <c r="D3557" s="29"/>
      <c r="E3557" s="29"/>
      <c r="H3557" s="27"/>
      <c r="K3557"/>
      <c r="P3557" s="27"/>
      <c r="Q3557" s="27"/>
      <c r="R3557" s="27"/>
    </row>
    <row r="3558" spans="1:18">
      <c r="A3558" s="28"/>
      <c r="B3558" s="29"/>
      <c r="C3558" s="29"/>
      <c r="D3558" s="29"/>
      <c r="E3558" s="29"/>
      <c r="H3558" s="27"/>
      <c r="K3558"/>
      <c r="P3558" s="27"/>
      <c r="Q3558" s="27"/>
      <c r="R3558" s="27"/>
    </row>
    <row r="3559" spans="1:18">
      <c r="A3559" s="28"/>
      <c r="B3559" s="29"/>
      <c r="C3559" s="29"/>
      <c r="D3559" s="29"/>
      <c r="E3559" s="29"/>
      <c r="H3559" s="27"/>
      <c r="K3559"/>
      <c r="P3559" s="27"/>
      <c r="Q3559" s="27"/>
      <c r="R3559" s="27"/>
    </row>
    <row r="3560" spans="1:18">
      <c r="A3560" s="28"/>
      <c r="B3560" s="29"/>
      <c r="C3560" s="29"/>
      <c r="D3560" s="29"/>
      <c r="E3560" s="29"/>
      <c r="H3560" s="27"/>
      <c r="K3560"/>
      <c r="P3560" s="27"/>
      <c r="Q3560" s="27"/>
      <c r="R3560" s="27"/>
    </row>
    <row r="3561" spans="1:18">
      <c r="A3561" s="28"/>
      <c r="B3561" s="29"/>
      <c r="C3561" s="29"/>
      <c r="D3561" s="29"/>
      <c r="E3561" s="29"/>
      <c r="H3561" s="27"/>
      <c r="K3561"/>
      <c r="P3561" s="27"/>
      <c r="Q3561" s="27"/>
      <c r="R3561" s="27"/>
    </row>
    <row r="3562" spans="1:18">
      <c r="A3562" s="28"/>
      <c r="B3562" s="29"/>
      <c r="C3562" s="29"/>
      <c r="D3562" s="29"/>
      <c r="E3562" s="29"/>
      <c r="H3562" s="27"/>
      <c r="K3562"/>
      <c r="P3562" s="27"/>
      <c r="Q3562" s="27"/>
      <c r="R3562" s="27"/>
    </row>
    <row r="3563" spans="1:18">
      <c r="A3563" s="28"/>
      <c r="B3563" s="29"/>
      <c r="C3563" s="29"/>
      <c r="D3563" s="29"/>
      <c r="E3563" s="29"/>
      <c r="H3563" s="27"/>
      <c r="K3563"/>
      <c r="P3563" s="27"/>
      <c r="Q3563" s="27"/>
      <c r="R3563" s="27"/>
    </row>
    <row r="3564" spans="1:18">
      <c r="A3564" s="28"/>
      <c r="B3564" s="29"/>
      <c r="C3564" s="29"/>
      <c r="D3564" s="29"/>
      <c r="E3564" s="29"/>
      <c r="H3564" s="27"/>
      <c r="K3564"/>
      <c r="P3564" s="27"/>
      <c r="Q3564" s="27"/>
      <c r="R3564" s="27"/>
    </row>
    <row r="3565" spans="1:18">
      <c r="A3565" s="28"/>
      <c r="B3565" s="29"/>
      <c r="C3565" s="29"/>
      <c r="D3565" s="29"/>
      <c r="E3565" s="29"/>
      <c r="H3565" s="27"/>
      <c r="K3565"/>
      <c r="P3565" s="27"/>
      <c r="Q3565" s="27"/>
      <c r="R3565" s="27"/>
    </row>
    <row r="3566" spans="1:18">
      <c r="A3566" s="28"/>
      <c r="B3566" s="29"/>
      <c r="C3566" s="29"/>
      <c r="D3566" s="29"/>
      <c r="E3566" s="29"/>
      <c r="H3566" s="27"/>
      <c r="K3566"/>
      <c r="P3566" s="27"/>
      <c r="Q3566" s="27"/>
      <c r="R3566" s="27"/>
    </row>
    <row r="3567" spans="1:18">
      <c r="A3567" s="28"/>
      <c r="B3567" s="29"/>
      <c r="C3567" s="29"/>
      <c r="D3567" s="29"/>
      <c r="E3567" s="29"/>
      <c r="H3567" s="27"/>
      <c r="K3567"/>
      <c r="P3567" s="27"/>
      <c r="Q3567" s="27"/>
      <c r="R3567" s="27"/>
    </row>
    <row r="3568" spans="1:18">
      <c r="A3568" s="28"/>
      <c r="B3568" s="29"/>
      <c r="C3568" s="29"/>
      <c r="D3568" s="29"/>
      <c r="E3568" s="29"/>
      <c r="H3568" s="27"/>
      <c r="K3568"/>
      <c r="P3568" s="27"/>
      <c r="Q3568" s="27"/>
      <c r="R3568" s="27"/>
    </row>
    <row r="3569" spans="1:18">
      <c r="A3569" s="28"/>
      <c r="B3569" s="29"/>
      <c r="C3569" s="29"/>
      <c r="D3569" s="29"/>
      <c r="E3569" s="29"/>
      <c r="H3569" s="27"/>
      <c r="K3569"/>
      <c r="P3569" s="27"/>
      <c r="Q3569" s="27"/>
      <c r="R3569" s="27"/>
    </row>
    <row r="3570" spans="1:18">
      <c r="A3570" s="28"/>
      <c r="B3570" s="29"/>
      <c r="C3570" s="29"/>
      <c r="D3570" s="29"/>
      <c r="E3570" s="29"/>
      <c r="H3570" s="27"/>
      <c r="K3570"/>
      <c r="P3570" s="27"/>
      <c r="Q3570" s="27"/>
      <c r="R3570" s="27"/>
    </row>
    <row r="3571" spans="1:18">
      <c r="A3571" s="28"/>
      <c r="B3571" s="29"/>
      <c r="C3571" s="29"/>
      <c r="D3571" s="29"/>
      <c r="E3571" s="29"/>
      <c r="H3571" s="27"/>
      <c r="K3571"/>
      <c r="P3571" s="27"/>
      <c r="Q3571" s="27"/>
      <c r="R3571" s="27"/>
    </row>
    <row r="3572" spans="1:18">
      <c r="A3572" s="28"/>
      <c r="B3572" s="29"/>
      <c r="C3572" s="29"/>
      <c r="D3572" s="29"/>
      <c r="E3572" s="29"/>
      <c r="H3572" s="27"/>
      <c r="K3572"/>
      <c r="P3572" s="27"/>
      <c r="Q3572" s="27"/>
      <c r="R3572" s="27"/>
    </row>
    <row r="3573" spans="1:18">
      <c r="A3573" s="28"/>
      <c r="B3573" s="29"/>
      <c r="C3573" s="29"/>
      <c r="D3573" s="29"/>
      <c r="E3573" s="29"/>
      <c r="H3573" s="27"/>
      <c r="K3573"/>
      <c r="P3573" s="27"/>
      <c r="Q3573" s="27"/>
      <c r="R3573" s="27"/>
    </row>
    <row r="3574" spans="1:18">
      <c r="A3574" s="28"/>
      <c r="B3574" s="29"/>
      <c r="C3574" s="29"/>
      <c r="D3574" s="29"/>
      <c r="E3574" s="29"/>
      <c r="H3574" s="27"/>
      <c r="K3574"/>
      <c r="P3574" s="27"/>
      <c r="Q3574" s="27"/>
      <c r="R3574" s="27"/>
    </row>
    <row r="3575" spans="1:18">
      <c r="A3575" s="28"/>
      <c r="B3575" s="29"/>
      <c r="C3575" s="29"/>
      <c r="D3575" s="29"/>
      <c r="E3575" s="29"/>
      <c r="H3575" s="27"/>
      <c r="K3575"/>
      <c r="P3575" s="27"/>
      <c r="Q3575" s="27"/>
      <c r="R3575" s="27"/>
    </row>
    <row r="3576" spans="1:18">
      <c r="A3576" s="28"/>
      <c r="B3576" s="29"/>
      <c r="C3576" s="29"/>
      <c r="D3576" s="29"/>
      <c r="E3576" s="29"/>
      <c r="H3576" s="27"/>
      <c r="K3576"/>
      <c r="P3576" s="27"/>
      <c r="Q3576" s="27"/>
      <c r="R3576" s="27"/>
    </row>
    <row r="3577" spans="1:18">
      <c r="A3577" s="28"/>
      <c r="B3577" s="29"/>
      <c r="C3577" s="29"/>
      <c r="D3577" s="29"/>
      <c r="E3577" s="29"/>
      <c r="H3577" s="27"/>
      <c r="K3577"/>
      <c r="P3577" s="27"/>
      <c r="Q3577" s="27"/>
      <c r="R3577" s="27"/>
    </row>
    <row r="3578" spans="1:18">
      <c r="A3578" s="28"/>
      <c r="B3578" s="29"/>
      <c r="C3578" s="29"/>
      <c r="D3578" s="29"/>
      <c r="E3578" s="29"/>
      <c r="H3578" s="27"/>
      <c r="K3578"/>
      <c r="P3578" s="27"/>
      <c r="Q3578" s="27"/>
      <c r="R3578" s="27"/>
    </row>
    <row r="3579" spans="1:18">
      <c r="A3579" s="28"/>
      <c r="B3579" s="29"/>
      <c r="C3579" s="29"/>
      <c r="D3579" s="29"/>
      <c r="E3579" s="29"/>
      <c r="H3579" s="27"/>
      <c r="K3579"/>
      <c r="P3579" s="27"/>
      <c r="Q3579" s="27"/>
      <c r="R3579" s="27"/>
    </row>
    <row r="3580" spans="1:18">
      <c r="A3580" s="28"/>
      <c r="B3580" s="29"/>
      <c r="C3580" s="29"/>
      <c r="D3580" s="29"/>
      <c r="E3580" s="29"/>
      <c r="H3580" s="27"/>
      <c r="K3580"/>
      <c r="P3580" s="27"/>
      <c r="Q3580" s="27"/>
      <c r="R3580" s="27"/>
    </row>
    <row r="3581" spans="1:18">
      <c r="A3581" s="28"/>
      <c r="B3581" s="29"/>
      <c r="C3581" s="29"/>
      <c r="D3581" s="29"/>
      <c r="E3581" s="29"/>
      <c r="H3581" s="27"/>
      <c r="K3581"/>
      <c r="P3581" s="27"/>
      <c r="Q3581" s="27"/>
      <c r="R3581" s="27"/>
    </row>
    <row r="3582" spans="1:18">
      <c r="A3582" s="28"/>
      <c r="B3582" s="29"/>
      <c r="C3582" s="29"/>
      <c r="D3582" s="29"/>
      <c r="E3582" s="29"/>
      <c r="H3582" s="27"/>
      <c r="K3582"/>
      <c r="P3582" s="27"/>
      <c r="Q3582" s="27"/>
      <c r="R3582" s="27"/>
    </row>
    <row r="3583" spans="1:18">
      <c r="A3583" s="28"/>
      <c r="B3583" s="29"/>
      <c r="C3583" s="29"/>
      <c r="D3583" s="29"/>
      <c r="E3583" s="29"/>
      <c r="H3583" s="27"/>
      <c r="K3583"/>
      <c r="P3583" s="27"/>
      <c r="Q3583" s="27"/>
      <c r="R3583" s="27"/>
    </row>
    <row r="3584" spans="1:18">
      <c r="A3584" s="28"/>
      <c r="B3584" s="29"/>
      <c r="C3584" s="29"/>
      <c r="D3584" s="29"/>
      <c r="E3584" s="29"/>
      <c r="H3584" s="27"/>
      <c r="K3584"/>
      <c r="P3584" s="27"/>
      <c r="Q3584" s="27"/>
      <c r="R3584" s="27"/>
    </row>
    <row r="3585" spans="1:18">
      <c r="A3585" s="28"/>
      <c r="B3585" s="29"/>
      <c r="C3585" s="29"/>
      <c r="D3585" s="29"/>
      <c r="E3585" s="29"/>
      <c r="H3585" s="27"/>
      <c r="K3585"/>
      <c r="P3585" s="27"/>
      <c r="Q3585" s="27"/>
      <c r="R3585" s="27"/>
    </row>
    <row r="3586" spans="1:18">
      <c r="A3586" s="28"/>
      <c r="B3586" s="29"/>
      <c r="C3586" s="29"/>
      <c r="D3586" s="29"/>
      <c r="E3586" s="29"/>
      <c r="H3586" s="27"/>
      <c r="K3586"/>
      <c r="P3586" s="27"/>
      <c r="Q3586" s="27"/>
      <c r="R3586" s="27"/>
    </row>
    <row r="3587" spans="1:18">
      <c r="A3587" s="28"/>
      <c r="B3587" s="29"/>
      <c r="C3587" s="29"/>
      <c r="D3587" s="29"/>
      <c r="E3587" s="29"/>
      <c r="H3587" s="27"/>
      <c r="K3587"/>
      <c r="P3587" s="27"/>
      <c r="Q3587" s="27"/>
      <c r="R3587" s="27"/>
    </row>
    <row r="3588" spans="1:18">
      <c r="A3588" s="28"/>
      <c r="B3588" s="29"/>
      <c r="C3588" s="29"/>
      <c r="D3588" s="29"/>
      <c r="E3588" s="29"/>
      <c r="H3588" s="27"/>
      <c r="K3588"/>
      <c r="P3588" s="27"/>
      <c r="Q3588" s="27"/>
      <c r="R3588" s="27"/>
    </row>
    <row r="3589" spans="1:18">
      <c r="A3589" s="28"/>
      <c r="B3589" s="29"/>
      <c r="C3589" s="29"/>
      <c r="D3589" s="29"/>
      <c r="E3589" s="29"/>
      <c r="H3589" s="27"/>
      <c r="K3589"/>
      <c r="P3589" s="27"/>
      <c r="Q3589" s="27"/>
      <c r="R3589" s="27"/>
    </row>
    <row r="3590" spans="1:18">
      <c r="A3590" s="28"/>
      <c r="B3590" s="29"/>
      <c r="C3590" s="29"/>
      <c r="D3590" s="29"/>
      <c r="E3590" s="29"/>
      <c r="H3590" s="27"/>
      <c r="K3590"/>
      <c r="P3590" s="27"/>
      <c r="Q3590" s="27"/>
      <c r="R3590" s="27"/>
    </row>
    <row r="3591" spans="1:18">
      <c r="A3591" s="28"/>
      <c r="B3591" s="29"/>
      <c r="C3591" s="29"/>
      <c r="D3591" s="29"/>
      <c r="E3591" s="29"/>
      <c r="H3591" s="27"/>
      <c r="K3591"/>
      <c r="P3591" s="27"/>
      <c r="Q3591" s="27"/>
      <c r="R3591" s="27"/>
    </row>
    <row r="3592" spans="1:18">
      <c r="A3592" s="28"/>
      <c r="B3592" s="29"/>
      <c r="C3592" s="29"/>
      <c r="D3592" s="29"/>
      <c r="E3592" s="29"/>
      <c r="H3592" s="27"/>
      <c r="K3592"/>
      <c r="P3592" s="27"/>
      <c r="Q3592" s="27"/>
      <c r="R3592" s="27"/>
    </row>
    <row r="3593" spans="1:18">
      <c r="A3593" s="28"/>
      <c r="B3593" s="29"/>
      <c r="C3593" s="29"/>
      <c r="D3593" s="29"/>
      <c r="E3593" s="29"/>
      <c r="H3593" s="27"/>
      <c r="K3593"/>
      <c r="P3593" s="27"/>
      <c r="Q3593" s="27"/>
      <c r="R3593" s="27"/>
    </row>
    <row r="3594" spans="1:18">
      <c r="A3594" s="28"/>
      <c r="B3594" s="29"/>
      <c r="C3594" s="29"/>
      <c r="D3594" s="29"/>
      <c r="E3594" s="29"/>
      <c r="H3594" s="27"/>
      <c r="K3594"/>
      <c r="P3594" s="27"/>
      <c r="Q3594" s="27"/>
      <c r="R3594" s="27"/>
    </row>
    <row r="3595" spans="1:18">
      <c r="A3595" s="28"/>
      <c r="B3595" s="29"/>
      <c r="C3595" s="29"/>
      <c r="D3595" s="29"/>
      <c r="E3595" s="29"/>
      <c r="H3595" s="27"/>
      <c r="K3595"/>
      <c r="P3595" s="27"/>
      <c r="Q3595" s="27"/>
      <c r="R3595" s="27"/>
    </row>
    <row r="3596" spans="1:18">
      <c r="A3596" s="28"/>
      <c r="B3596" s="29"/>
      <c r="C3596" s="29"/>
      <c r="D3596" s="29"/>
      <c r="E3596" s="29"/>
      <c r="H3596" s="27"/>
      <c r="K3596"/>
      <c r="P3596" s="27"/>
      <c r="Q3596" s="27"/>
      <c r="R3596" s="27"/>
    </row>
    <row r="3597" spans="1:18">
      <c r="A3597" s="28"/>
      <c r="B3597" s="29"/>
      <c r="C3597" s="29"/>
      <c r="D3597" s="29"/>
      <c r="E3597" s="29"/>
      <c r="H3597" s="27"/>
      <c r="K3597"/>
      <c r="P3597" s="27"/>
      <c r="Q3597" s="27"/>
      <c r="R3597" s="27"/>
    </row>
    <row r="3598" spans="1:18">
      <c r="A3598" s="28"/>
      <c r="B3598" s="29"/>
      <c r="C3598" s="29"/>
      <c r="D3598" s="29"/>
      <c r="E3598" s="29"/>
      <c r="H3598" s="27"/>
      <c r="K3598"/>
      <c r="P3598" s="27"/>
      <c r="Q3598" s="27"/>
      <c r="R3598" s="27"/>
    </row>
    <row r="3599" spans="1:18">
      <c r="A3599" s="28"/>
      <c r="B3599" s="29"/>
      <c r="C3599" s="29"/>
      <c r="D3599" s="29"/>
      <c r="E3599" s="29"/>
      <c r="H3599" s="27"/>
      <c r="K3599"/>
      <c r="P3599" s="27"/>
      <c r="Q3599" s="27"/>
      <c r="R3599" s="27"/>
    </row>
    <row r="3600" spans="1:18">
      <c r="A3600" s="28"/>
      <c r="B3600" s="29"/>
      <c r="C3600" s="29"/>
      <c r="D3600" s="29"/>
      <c r="E3600" s="29"/>
      <c r="H3600" s="27"/>
      <c r="K3600"/>
      <c r="P3600" s="27"/>
      <c r="Q3600" s="27"/>
      <c r="R3600" s="27"/>
    </row>
    <row r="3601" spans="1:18">
      <c r="A3601" s="28"/>
      <c r="B3601" s="29"/>
      <c r="C3601" s="29"/>
      <c r="D3601" s="29"/>
      <c r="E3601" s="29"/>
      <c r="H3601" s="27"/>
      <c r="K3601"/>
      <c r="P3601" s="27"/>
      <c r="Q3601" s="27"/>
      <c r="R3601" s="27"/>
    </row>
    <row r="3602" spans="1:18">
      <c r="A3602" s="28"/>
      <c r="B3602" s="29"/>
      <c r="C3602" s="29"/>
      <c r="D3602" s="29"/>
      <c r="E3602" s="29"/>
      <c r="H3602" s="27"/>
      <c r="K3602"/>
      <c r="P3602" s="27"/>
      <c r="Q3602" s="27"/>
      <c r="R3602" s="27"/>
    </row>
    <row r="3603" spans="1:18">
      <c r="A3603" s="28"/>
      <c r="B3603" s="29"/>
      <c r="C3603" s="29"/>
      <c r="D3603" s="29"/>
      <c r="E3603" s="29"/>
      <c r="H3603" s="27"/>
      <c r="K3603"/>
      <c r="P3603" s="27"/>
      <c r="Q3603" s="27"/>
      <c r="R3603" s="27"/>
    </row>
    <row r="3604" spans="1:18">
      <c r="A3604" s="28"/>
      <c r="B3604" s="29"/>
      <c r="C3604" s="29"/>
      <c r="D3604" s="29"/>
      <c r="E3604" s="29"/>
      <c r="H3604" s="27"/>
      <c r="K3604"/>
      <c r="P3604" s="27"/>
      <c r="Q3604" s="27"/>
      <c r="R3604" s="27"/>
    </row>
    <row r="3605" spans="1:18">
      <c r="A3605" s="28"/>
      <c r="B3605" s="29"/>
      <c r="C3605" s="29"/>
      <c r="D3605" s="29"/>
      <c r="E3605" s="29"/>
      <c r="H3605" s="27"/>
      <c r="K3605"/>
      <c r="P3605" s="27"/>
      <c r="Q3605" s="27"/>
      <c r="R3605" s="27"/>
    </row>
    <row r="3606" spans="1:18">
      <c r="A3606" s="28"/>
      <c r="B3606" s="29"/>
      <c r="C3606" s="29"/>
      <c r="D3606" s="29"/>
      <c r="E3606" s="29"/>
      <c r="H3606" s="27"/>
      <c r="K3606"/>
      <c r="P3606" s="27"/>
      <c r="Q3606" s="27"/>
      <c r="R3606" s="27"/>
    </row>
    <row r="3607" spans="1:18">
      <c r="A3607" s="28"/>
      <c r="B3607" s="29"/>
      <c r="C3607" s="29"/>
      <c r="D3607" s="29"/>
      <c r="E3607" s="29"/>
      <c r="H3607" s="27"/>
      <c r="K3607"/>
      <c r="P3607" s="27"/>
      <c r="Q3607" s="27"/>
      <c r="R3607" s="27"/>
    </row>
    <row r="3608" spans="1:18">
      <c r="A3608" s="28"/>
      <c r="B3608" s="29"/>
      <c r="C3608" s="29"/>
      <c r="D3608" s="29"/>
      <c r="E3608" s="29"/>
      <c r="H3608" s="27"/>
      <c r="K3608"/>
      <c r="P3608" s="27"/>
      <c r="Q3608" s="27"/>
      <c r="R3608" s="27"/>
    </row>
    <row r="3609" spans="1:18">
      <c r="A3609" s="28"/>
      <c r="B3609" s="29"/>
      <c r="C3609" s="29"/>
      <c r="D3609" s="29"/>
      <c r="E3609" s="29"/>
      <c r="H3609" s="27"/>
      <c r="K3609"/>
      <c r="P3609" s="27"/>
      <c r="Q3609" s="27"/>
      <c r="R3609" s="27"/>
    </row>
    <row r="3610" spans="1:18">
      <c r="A3610" s="28"/>
      <c r="B3610" s="29"/>
      <c r="C3610" s="29"/>
      <c r="D3610" s="29"/>
      <c r="E3610" s="29"/>
      <c r="H3610" s="27"/>
      <c r="K3610"/>
      <c r="P3610" s="27"/>
      <c r="Q3610" s="27"/>
      <c r="R3610" s="27"/>
    </row>
    <row r="3611" spans="1:18">
      <c r="A3611" s="28"/>
      <c r="B3611" s="29"/>
      <c r="C3611" s="29"/>
      <c r="D3611" s="29"/>
      <c r="E3611" s="29"/>
      <c r="H3611" s="27"/>
      <c r="K3611"/>
      <c r="P3611" s="27"/>
      <c r="Q3611" s="27"/>
      <c r="R3611" s="27"/>
    </row>
    <row r="3612" spans="1:18">
      <c r="A3612" s="28"/>
      <c r="B3612" s="29"/>
      <c r="C3612" s="29"/>
      <c r="D3612" s="29"/>
      <c r="E3612" s="29"/>
      <c r="H3612" s="27"/>
      <c r="K3612"/>
      <c r="P3612" s="27"/>
      <c r="Q3612" s="27"/>
      <c r="R3612" s="27"/>
    </row>
    <row r="3613" spans="1:18">
      <c r="A3613" s="28"/>
      <c r="B3613" s="29"/>
      <c r="C3613" s="29"/>
      <c r="D3613" s="29"/>
      <c r="E3613" s="29"/>
      <c r="H3613" s="27"/>
      <c r="K3613"/>
      <c r="P3613" s="27"/>
      <c r="Q3613" s="27"/>
      <c r="R3613" s="27"/>
    </row>
    <row r="3614" spans="1:18">
      <c r="A3614" s="28"/>
      <c r="B3614" s="29"/>
      <c r="C3614" s="29"/>
      <c r="D3614" s="29"/>
      <c r="E3614" s="29"/>
      <c r="H3614" s="27"/>
      <c r="K3614"/>
      <c r="P3614" s="27"/>
      <c r="Q3614" s="27"/>
      <c r="R3614" s="27"/>
    </row>
    <row r="3615" spans="1:18">
      <c r="A3615" s="28"/>
      <c r="B3615" s="29"/>
      <c r="C3615" s="29"/>
      <c r="D3615" s="29"/>
      <c r="E3615" s="29"/>
      <c r="H3615" s="27"/>
      <c r="K3615"/>
      <c r="P3615" s="27"/>
      <c r="Q3615" s="27"/>
      <c r="R3615" s="27"/>
    </row>
    <row r="3616" spans="1:18">
      <c r="A3616" s="28"/>
      <c r="B3616" s="29"/>
      <c r="C3616" s="29"/>
      <c r="D3616" s="29"/>
      <c r="E3616" s="29"/>
      <c r="H3616" s="27"/>
      <c r="K3616"/>
      <c r="P3616" s="27"/>
      <c r="Q3616" s="27"/>
      <c r="R3616" s="27"/>
    </row>
    <row r="3617" spans="1:18">
      <c r="A3617" s="28"/>
      <c r="B3617" s="29"/>
      <c r="C3617" s="29"/>
      <c r="D3617" s="29"/>
      <c r="E3617" s="29"/>
      <c r="H3617" s="27"/>
      <c r="K3617"/>
      <c r="P3617" s="27"/>
      <c r="Q3617" s="27"/>
      <c r="R3617" s="27"/>
    </row>
    <row r="3618" spans="1:18">
      <c r="A3618" s="28"/>
      <c r="B3618" s="29"/>
      <c r="C3618" s="29"/>
      <c r="D3618" s="29"/>
      <c r="E3618" s="29"/>
      <c r="H3618" s="27"/>
      <c r="K3618"/>
      <c r="P3618" s="27"/>
      <c r="Q3618" s="27"/>
      <c r="R3618" s="27"/>
    </row>
    <row r="3619" spans="1:18">
      <c r="A3619" s="28"/>
      <c r="B3619" s="29"/>
      <c r="C3619" s="29"/>
      <c r="D3619" s="29"/>
      <c r="E3619" s="29"/>
      <c r="H3619" s="27"/>
      <c r="K3619"/>
      <c r="P3619" s="27"/>
      <c r="Q3619" s="27"/>
      <c r="R3619" s="27"/>
    </row>
    <row r="3620" spans="1:18">
      <c r="A3620" s="28"/>
      <c r="B3620" s="29"/>
      <c r="C3620" s="29"/>
      <c r="D3620" s="29"/>
      <c r="E3620" s="29"/>
      <c r="H3620" s="27"/>
      <c r="K3620"/>
      <c r="P3620" s="27"/>
      <c r="Q3620" s="27"/>
      <c r="R3620" s="27"/>
    </row>
    <row r="3621" spans="1:18">
      <c r="A3621" s="28"/>
      <c r="B3621" s="29"/>
      <c r="C3621" s="29"/>
      <c r="D3621" s="29"/>
      <c r="E3621" s="29"/>
      <c r="H3621" s="27"/>
      <c r="K3621"/>
      <c r="P3621" s="27"/>
      <c r="Q3621" s="27"/>
      <c r="R3621" s="27"/>
    </row>
    <row r="3622" spans="1:18">
      <c r="A3622" s="28"/>
      <c r="B3622" s="29"/>
      <c r="C3622" s="29"/>
      <c r="D3622" s="29"/>
      <c r="E3622" s="29"/>
      <c r="H3622" s="27"/>
      <c r="K3622"/>
      <c r="P3622" s="27"/>
      <c r="Q3622" s="27"/>
      <c r="R3622" s="27"/>
    </row>
    <row r="3623" spans="1:18">
      <c r="A3623" s="28"/>
      <c r="B3623" s="29"/>
      <c r="C3623" s="29"/>
      <c r="D3623" s="29"/>
      <c r="E3623" s="29"/>
      <c r="H3623" s="27"/>
      <c r="K3623"/>
      <c r="P3623" s="27"/>
      <c r="Q3623" s="27"/>
      <c r="R3623" s="27"/>
    </row>
    <row r="3624" spans="1:18">
      <c r="A3624" s="28"/>
      <c r="B3624" s="29"/>
      <c r="C3624" s="29"/>
      <c r="D3624" s="29"/>
      <c r="E3624" s="29"/>
      <c r="H3624" s="27"/>
      <c r="K3624"/>
      <c r="P3624" s="27"/>
      <c r="Q3624" s="27"/>
      <c r="R3624" s="27"/>
    </row>
    <row r="3625" spans="1:18">
      <c r="A3625" s="28"/>
      <c r="B3625" s="29"/>
      <c r="C3625" s="29"/>
      <c r="D3625" s="29"/>
      <c r="E3625" s="29"/>
      <c r="H3625" s="27"/>
      <c r="K3625"/>
      <c r="P3625" s="27"/>
      <c r="Q3625" s="27"/>
      <c r="R3625" s="27"/>
    </row>
    <row r="3626" spans="1:18">
      <c r="A3626" s="28"/>
      <c r="B3626" s="29"/>
      <c r="C3626" s="29"/>
      <c r="D3626" s="29"/>
      <c r="E3626" s="29"/>
      <c r="H3626" s="27"/>
      <c r="K3626"/>
      <c r="P3626" s="27"/>
      <c r="Q3626" s="27"/>
      <c r="R3626" s="27"/>
    </row>
    <row r="3627" spans="1:18">
      <c r="A3627" s="28"/>
      <c r="B3627" s="29"/>
      <c r="C3627" s="29"/>
      <c r="D3627" s="29"/>
      <c r="E3627" s="29"/>
      <c r="H3627" s="27"/>
      <c r="K3627"/>
      <c r="P3627" s="27"/>
      <c r="Q3627" s="27"/>
      <c r="R3627" s="27"/>
    </row>
    <row r="3628" spans="1:18">
      <c r="A3628" s="28"/>
      <c r="B3628" s="29"/>
      <c r="C3628" s="29"/>
      <c r="D3628" s="29"/>
      <c r="E3628" s="29"/>
      <c r="H3628" s="27"/>
      <c r="K3628"/>
      <c r="P3628" s="27"/>
      <c r="Q3628" s="27"/>
      <c r="R3628" s="27"/>
    </row>
    <row r="3629" spans="1:18">
      <c r="A3629" s="28"/>
      <c r="B3629" s="29"/>
      <c r="C3629" s="29"/>
      <c r="D3629" s="29"/>
      <c r="E3629" s="29"/>
      <c r="H3629" s="27"/>
      <c r="K3629"/>
      <c r="P3629" s="27"/>
      <c r="Q3629" s="27"/>
      <c r="R3629" s="27"/>
    </row>
    <row r="3630" spans="1:18">
      <c r="A3630" s="28"/>
      <c r="B3630" s="29"/>
      <c r="C3630" s="29"/>
      <c r="D3630" s="29"/>
      <c r="E3630" s="29"/>
      <c r="H3630" s="27"/>
      <c r="K3630"/>
      <c r="P3630" s="27"/>
      <c r="Q3630" s="27"/>
      <c r="R3630" s="27"/>
    </row>
    <row r="3631" spans="1:18">
      <c r="A3631" s="28"/>
      <c r="B3631" s="29"/>
      <c r="C3631" s="29"/>
      <c r="D3631" s="29"/>
      <c r="E3631" s="29"/>
      <c r="H3631" s="27"/>
      <c r="K3631"/>
      <c r="P3631" s="27"/>
      <c r="Q3631" s="27"/>
      <c r="R3631" s="27"/>
    </row>
    <row r="3632" spans="1:18">
      <c r="A3632" s="28"/>
      <c r="B3632" s="29"/>
      <c r="C3632" s="29"/>
      <c r="D3632" s="29"/>
      <c r="E3632" s="29"/>
      <c r="H3632" s="27"/>
      <c r="K3632"/>
      <c r="P3632" s="27"/>
      <c r="Q3632" s="27"/>
      <c r="R3632" s="27"/>
    </row>
    <row r="3633" spans="1:18">
      <c r="A3633" s="28"/>
      <c r="B3633" s="29"/>
      <c r="C3633" s="29"/>
      <c r="D3633" s="29"/>
      <c r="E3633" s="29"/>
      <c r="H3633" s="27"/>
      <c r="K3633"/>
      <c r="P3633" s="27"/>
      <c r="Q3633" s="27"/>
      <c r="R3633" s="27"/>
    </row>
    <row r="3634" spans="1:18">
      <c r="A3634" s="28"/>
      <c r="B3634" s="29"/>
      <c r="C3634" s="29"/>
      <c r="D3634" s="29"/>
      <c r="E3634" s="29"/>
      <c r="H3634" s="27"/>
      <c r="K3634"/>
      <c r="P3634" s="27"/>
      <c r="Q3634" s="27"/>
      <c r="R3634" s="27"/>
    </row>
    <row r="3635" spans="1:18">
      <c r="A3635" s="28"/>
      <c r="B3635" s="29"/>
      <c r="C3635" s="29"/>
      <c r="D3635" s="29"/>
      <c r="E3635" s="29"/>
      <c r="H3635" s="27"/>
      <c r="K3635"/>
      <c r="P3635" s="27"/>
      <c r="Q3635" s="27"/>
      <c r="R3635" s="27"/>
    </row>
    <row r="3636" spans="1:18">
      <c r="A3636" s="28"/>
      <c r="B3636" s="29"/>
      <c r="C3636" s="29"/>
      <c r="D3636" s="29"/>
      <c r="E3636" s="29"/>
      <c r="H3636" s="27"/>
      <c r="K3636"/>
      <c r="P3636" s="27"/>
      <c r="Q3636" s="27"/>
      <c r="R3636" s="27"/>
    </row>
    <row r="3637" spans="1:18">
      <c r="A3637" s="28"/>
      <c r="B3637" s="29"/>
      <c r="C3637" s="29"/>
      <c r="D3637" s="29"/>
      <c r="E3637" s="29"/>
      <c r="H3637" s="27"/>
      <c r="K3637"/>
      <c r="P3637" s="27"/>
      <c r="Q3637" s="27"/>
      <c r="R3637" s="27"/>
    </row>
    <row r="3638" spans="1:18">
      <c r="A3638" s="28"/>
      <c r="B3638" s="29"/>
      <c r="C3638" s="29"/>
      <c r="D3638" s="29"/>
      <c r="E3638" s="29"/>
      <c r="H3638" s="27"/>
      <c r="K3638"/>
      <c r="P3638" s="27"/>
      <c r="Q3638" s="27"/>
      <c r="R3638" s="27"/>
    </row>
    <row r="3639" spans="1:18">
      <c r="A3639" s="28"/>
      <c r="B3639" s="29"/>
      <c r="C3639" s="29"/>
      <c r="D3639" s="29"/>
      <c r="E3639" s="29"/>
      <c r="H3639" s="27"/>
      <c r="K3639"/>
      <c r="P3639" s="27"/>
      <c r="Q3639" s="27"/>
      <c r="R3639" s="27"/>
    </row>
    <row r="3640" spans="1:18">
      <c r="A3640" s="28"/>
      <c r="B3640" s="29"/>
      <c r="C3640" s="29"/>
      <c r="D3640" s="29"/>
      <c r="E3640" s="29"/>
      <c r="H3640" s="27"/>
      <c r="K3640"/>
      <c r="P3640" s="27"/>
      <c r="Q3640" s="27"/>
      <c r="R3640" s="27"/>
    </row>
    <row r="3641" spans="1:18">
      <c r="A3641" s="28"/>
      <c r="B3641" s="29"/>
      <c r="C3641" s="29"/>
      <c r="D3641" s="29"/>
      <c r="E3641" s="29"/>
      <c r="H3641" s="27"/>
      <c r="K3641"/>
      <c r="P3641" s="27"/>
      <c r="Q3641" s="27"/>
      <c r="R3641" s="27"/>
    </row>
    <row r="3642" spans="1:18">
      <c r="A3642" s="28"/>
      <c r="B3642" s="29"/>
      <c r="C3642" s="29"/>
      <c r="D3642" s="29"/>
      <c r="E3642" s="29"/>
      <c r="H3642" s="27"/>
      <c r="K3642"/>
      <c r="P3642" s="27"/>
      <c r="Q3642" s="27"/>
      <c r="R3642" s="27"/>
    </row>
    <row r="3643" spans="1:18">
      <c r="A3643" s="28"/>
      <c r="B3643" s="29"/>
      <c r="C3643" s="29"/>
      <c r="D3643" s="29"/>
      <c r="E3643" s="29"/>
      <c r="H3643" s="27"/>
      <c r="K3643"/>
      <c r="P3643" s="27"/>
      <c r="Q3643" s="27"/>
      <c r="R3643" s="27"/>
    </row>
    <row r="3644" spans="1:18">
      <c r="A3644" s="28"/>
      <c r="B3644" s="29"/>
      <c r="C3644" s="29"/>
      <c r="D3644" s="29"/>
      <c r="E3644" s="29"/>
      <c r="H3644" s="27"/>
      <c r="K3644"/>
      <c r="P3644" s="27"/>
      <c r="Q3644" s="27"/>
      <c r="R3644" s="27"/>
    </row>
    <row r="3645" spans="1:18">
      <c r="A3645" s="28"/>
      <c r="B3645" s="29"/>
      <c r="C3645" s="29"/>
      <c r="D3645" s="29"/>
      <c r="E3645" s="29"/>
      <c r="H3645" s="27"/>
      <c r="K3645"/>
      <c r="P3645" s="27"/>
      <c r="Q3645" s="27"/>
      <c r="R3645" s="27"/>
    </row>
    <row r="3646" spans="1:18">
      <c r="A3646" s="28"/>
      <c r="B3646" s="29"/>
      <c r="C3646" s="29"/>
      <c r="D3646" s="29"/>
      <c r="E3646" s="29"/>
      <c r="H3646" s="27"/>
      <c r="K3646"/>
      <c r="P3646" s="27"/>
      <c r="Q3646" s="27"/>
      <c r="R3646" s="27"/>
    </row>
    <row r="3647" spans="1:18">
      <c r="A3647" s="28"/>
      <c r="B3647" s="29"/>
      <c r="C3647" s="29"/>
      <c r="D3647" s="29"/>
      <c r="E3647" s="29"/>
      <c r="H3647" s="27"/>
      <c r="K3647"/>
      <c r="P3647" s="27"/>
      <c r="Q3647" s="27"/>
      <c r="R3647" s="27"/>
    </row>
    <row r="3648" spans="1:18">
      <c r="A3648" s="28"/>
      <c r="B3648" s="29"/>
      <c r="C3648" s="29"/>
      <c r="D3648" s="29"/>
      <c r="E3648" s="29"/>
      <c r="H3648" s="27"/>
      <c r="K3648"/>
      <c r="P3648" s="27"/>
      <c r="Q3648" s="27"/>
      <c r="R3648" s="27"/>
    </row>
    <row r="3649" spans="1:18">
      <c r="A3649" s="28"/>
      <c r="B3649" s="29"/>
      <c r="C3649" s="29"/>
      <c r="D3649" s="29"/>
      <c r="E3649" s="29"/>
      <c r="H3649" s="27"/>
      <c r="K3649"/>
      <c r="P3649" s="27"/>
      <c r="Q3649" s="27"/>
      <c r="R3649" s="27"/>
    </row>
    <row r="3650" spans="1:18">
      <c r="A3650" s="28"/>
      <c r="B3650" s="29"/>
      <c r="C3650" s="29"/>
      <c r="D3650" s="29"/>
      <c r="E3650" s="29"/>
      <c r="H3650" s="27"/>
      <c r="K3650"/>
      <c r="P3650" s="27"/>
      <c r="Q3650" s="27"/>
      <c r="R3650" s="27"/>
    </row>
    <row r="3651" spans="1:18">
      <c r="A3651" s="28"/>
      <c r="B3651" s="29"/>
      <c r="C3651" s="29"/>
      <c r="D3651" s="29"/>
      <c r="E3651" s="29"/>
      <c r="H3651" s="27"/>
      <c r="K3651"/>
      <c r="P3651" s="27"/>
      <c r="Q3651" s="27"/>
      <c r="R3651" s="27"/>
    </row>
    <row r="3652" spans="1:18">
      <c r="A3652" s="28"/>
      <c r="B3652" s="29"/>
      <c r="C3652" s="29"/>
      <c r="D3652" s="29"/>
      <c r="E3652" s="29"/>
      <c r="H3652" s="27"/>
      <c r="K3652"/>
      <c r="P3652" s="27"/>
      <c r="Q3652" s="27"/>
      <c r="R3652" s="27"/>
    </row>
    <row r="3653" spans="1:18">
      <c r="A3653" s="28"/>
      <c r="B3653" s="29"/>
      <c r="C3653" s="29"/>
      <c r="D3653" s="29"/>
      <c r="E3653" s="29"/>
      <c r="H3653" s="27"/>
      <c r="K3653"/>
      <c r="P3653" s="27"/>
      <c r="Q3653" s="27"/>
      <c r="R3653" s="27"/>
    </row>
    <row r="3654" spans="1:18">
      <c r="A3654" s="28"/>
      <c r="B3654" s="29"/>
      <c r="C3654" s="29"/>
      <c r="D3654" s="29"/>
      <c r="E3654" s="29"/>
      <c r="H3654" s="27"/>
      <c r="K3654"/>
      <c r="P3654" s="27"/>
      <c r="Q3654" s="27"/>
      <c r="R3654" s="27"/>
    </row>
    <row r="3655" spans="1:18">
      <c r="A3655" s="28"/>
      <c r="B3655" s="29"/>
      <c r="C3655" s="29"/>
      <c r="D3655" s="29"/>
      <c r="E3655" s="29"/>
      <c r="H3655" s="27"/>
      <c r="K3655"/>
      <c r="P3655" s="27"/>
      <c r="Q3655" s="27"/>
      <c r="R3655" s="27"/>
    </row>
    <row r="3656" spans="1:18">
      <c r="A3656" s="28"/>
      <c r="B3656" s="29"/>
      <c r="C3656" s="29"/>
      <c r="D3656" s="29"/>
      <c r="E3656" s="29"/>
      <c r="H3656" s="27"/>
      <c r="K3656"/>
      <c r="P3656" s="27"/>
      <c r="Q3656" s="27"/>
      <c r="R3656" s="27"/>
    </row>
    <row r="3657" spans="1:18">
      <c r="A3657" s="28"/>
      <c r="B3657" s="29"/>
      <c r="C3657" s="29"/>
      <c r="D3657" s="29"/>
      <c r="E3657" s="29"/>
      <c r="H3657" s="27"/>
      <c r="K3657"/>
      <c r="P3657" s="27"/>
      <c r="Q3657" s="27"/>
      <c r="R3657" s="27"/>
    </row>
    <row r="3658" spans="1:18">
      <c r="A3658" s="28"/>
      <c r="B3658" s="29"/>
      <c r="C3658" s="29"/>
      <c r="D3658" s="29"/>
      <c r="E3658" s="29"/>
      <c r="H3658" s="27"/>
      <c r="K3658"/>
      <c r="P3658" s="27"/>
      <c r="Q3658" s="27"/>
      <c r="R3658" s="27"/>
    </row>
    <row r="3659" spans="1:18">
      <c r="A3659" s="28"/>
      <c r="B3659" s="29"/>
      <c r="C3659" s="29"/>
      <c r="D3659" s="29"/>
      <c r="E3659" s="29"/>
      <c r="H3659" s="27"/>
      <c r="K3659"/>
      <c r="P3659" s="27"/>
      <c r="Q3659" s="27"/>
      <c r="R3659" s="27"/>
    </row>
    <row r="3660" spans="1:18">
      <c r="A3660" s="28"/>
      <c r="B3660" s="29"/>
      <c r="C3660" s="29"/>
      <c r="D3660" s="29"/>
      <c r="E3660" s="29"/>
      <c r="H3660" s="27"/>
      <c r="K3660"/>
      <c r="P3660" s="27"/>
      <c r="Q3660" s="27"/>
      <c r="R3660" s="27"/>
    </row>
    <row r="3661" spans="1:18">
      <c r="A3661" s="28"/>
      <c r="B3661" s="29"/>
      <c r="C3661" s="29"/>
      <c r="D3661" s="29"/>
      <c r="E3661" s="29"/>
      <c r="H3661" s="27"/>
      <c r="K3661"/>
      <c r="P3661" s="27"/>
      <c r="Q3661" s="27"/>
      <c r="R3661" s="27"/>
    </row>
    <row r="3662" spans="1:18">
      <c r="A3662" s="28"/>
      <c r="B3662" s="29"/>
      <c r="C3662" s="29"/>
      <c r="D3662" s="29"/>
      <c r="E3662" s="29"/>
      <c r="H3662" s="27"/>
      <c r="K3662"/>
      <c r="P3662" s="27"/>
      <c r="Q3662" s="27"/>
      <c r="R3662" s="27"/>
    </row>
    <row r="3663" spans="1:18">
      <c r="A3663" s="28"/>
      <c r="B3663" s="29"/>
      <c r="C3663" s="29"/>
      <c r="D3663" s="29"/>
      <c r="E3663" s="29"/>
      <c r="H3663" s="27"/>
      <c r="K3663"/>
      <c r="P3663" s="27"/>
      <c r="Q3663" s="27"/>
      <c r="R3663" s="27"/>
    </row>
    <row r="3664" spans="1:18">
      <c r="A3664" s="28"/>
      <c r="B3664" s="29"/>
      <c r="C3664" s="29"/>
      <c r="D3664" s="29"/>
      <c r="E3664" s="29"/>
      <c r="H3664" s="27"/>
      <c r="K3664"/>
      <c r="P3664" s="27"/>
      <c r="Q3664" s="27"/>
      <c r="R3664" s="27"/>
    </row>
    <row r="3665" spans="1:18">
      <c r="A3665" s="28"/>
      <c r="B3665" s="29"/>
      <c r="C3665" s="29"/>
      <c r="D3665" s="29"/>
      <c r="E3665" s="29"/>
      <c r="H3665" s="27"/>
      <c r="K3665"/>
      <c r="P3665" s="27"/>
      <c r="Q3665" s="27"/>
      <c r="R3665" s="27"/>
    </row>
    <row r="3666" spans="1:18">
      <c r="A3666" s="28"/>
      <c r="B3666" s="29"/>
      <c r="C3666" s="29"/>
      <c r="D3666" s="29"/>
      <c r="E3666" s="29"/>
      <c r="H3666" s="27"/>
      <c r="K3666"/>
      <c r="P3666" s="27"/>
      <c r="Q3666" s="27"/>
      <c r="R3666" s="27"/>
    </row>
    <row r="3667" spans="1:18">
      <c r="A3667" s="28"/>
      <c r="B3667" s="29"/>
      <c r="C3667" s="29"/>
      <c r="D3667" s="29"/>
      <c r="E3667" s="29"/>
      <c r="H3667" s="27"/>
      <c r="K3667"/>
      <c r="P3667" s="27"/>
      <c r="Q3667" s="27"/>
      <c r="R3667" s="27"/>
    </row>
    <row r="3668" spans="1:18">
      <c r="A3668" s="28"/>
      <c r="B3668" s="29"/>
      <c r="C3668" s="29"/>
      <c r="D3668" s="29"/>
      <c r="E3668" s="29"/>
      <c r="H3668" s="27"/>
      <c r="K3668"/>
      <c r="P3668" s="27"/>
      <c r="Q3668" s="27"/>
      <c r="R3668" s="27"/>
    </row>
    <row r="3669" spans="1:18">
      <c r="A3669" s="28"/>
      <c r="B3669" s="29"/>
      <c r="C3669" s="29"/>
      <c r="D3669" s="29"/>
      <c r="E3669" s="29"/>
      <c r="H3669" s="27"/>
      <c r="K3669"/>
      <c r="P3669" s="27"/>
      <c r="Q3669" s="27"/>
      <c r="R3669" s="27"/>
    </row>
    <row r="3670" spans="1:18">
      <c r="A3670" s="28"/>
      <c r="B3670" s="29"/>
      <c r="C3670" s="29"/>
      <c r="D3670" s="29"/>
      <c r="E3670" s="29"/>
      <c r="H3670" s="27"/>
      <c r="K3670"/>
      <c r="P3670" s="27"/>
      <c r="Q3670" s="27"/>
      <c r="R3670" s="27"/>
    </row>
    <row r="3671" spans="1:18">
      <c r="A3671" s="28"/>
      <c r="B3671" s="29"/>
      <c r="C3671" s="29"/>
      <c r="D3671" s="29"/>
      <c r="E3671" s="29"/>
      <c r="H3671" s="27"/>
      <c r="K3671"/>
      <c r="P3671" s="27"/>
      <c r="Q3671" s="27"/>
      <c r="R3671" s="27"/>
    </row>
    <row r="3672" spans="1:18">
      <c r="A3672" s="28"/>
      <c r="B3672" s="29"/>
      <c r="C3672" s="29"/>
      <c r="D3672" s="29"/>
      <c r="E3672" s="29"/>
      <c r="H3672" s="27"/>
      <c r="K3672"/>
      <c r="P3672" s="27"/>
      <c r="Q3672" s="27"/>
      <c r="R3672" s="27"/>
    </row>
    <row r="3673" spans="1:18">
      <c r="A3673" s="28"/>
      <c r="B3673" s="29"/>
      <c r="C3673" s="29"/>
      <c r="D3673" s="29"/>
      <c r="E3673" s="29"/>
      <c r="H3673" s="27"/>
      <c r="K3673"/>
      <c r="P3673" s="27"/>
      <c r="Q3673" s="27"/>
      <c r="R3673" s="27"/>
    </row>
    <row r="3674" spans="1:18">
      <c r="A3674" s="28"/>
      <c r="B3674" s="29"/>
      <c r="C3674" s="29"/>
      <c r="D3674" s="29"/>
      <c r="E3674" s="29"/>
      <c r="H3674" s="27"/>
      <c r="K3674"/>
      <c r="P3674" s="27"/>
      <c r="Q3674" s="27"/>
      <c r="R3674" s="27"/>
    </row>
    <row r="3675" spans="1:18">
      <c r="A3675" s="28"/>
      <c r="B3675" s="29"/>
      <c r="C3675" s="29"/>
      <c r="D3675" s="29"/>
      <c r="E3675" s="29"/>
      <c r="H3675" s="27"/>
      <c r="K3675"/>
      <c r="P3675" s="27"/>
      <c r="Q3675" s="27"/>
      <c r="R3675" s="27"/>
    </row>
    <row r="3676" spans="1:18">
      <c r="A3676" s="28"/>
      <c r="B3676" s="29"/>
      <c r="C3676" s="29"/>
      <c r="D3676" s="29"/>
      <c r="E3676" s="29"/>
      <c r="H3676" s="27"/>
      <c r="K3676"/>
      <c r="P3676" s="27"/>
      <c r="Q3676" s="27"/>
      <c r="R3676" s="27"/>
    </row>
    <row r="3677" spans="1:18">
      <c r="A3677" s="28"/>
      <c r="B3677" s="29"/>
      <c r="C3677" s="29"/>
      <c r="D3677" s="29"/>
      <c r="E3677" s="29"/>
      <c r="H3677" s="27"/>
      <c r="K3677"/>
      <c r="P3677" s="27"/>
      <c r="Q3677" s="27"/>
      <c r="R3677" s="27"/>
    </row>
    <row r="3678" spans="1:18">
      <c r="A3678" s="28"/>
      <c r="B3678" s="29"/>
      <c r="C3678" s="29"/>
      <c r="D3678" s="29"/>
      <c r="E3678" s="29"/>
      <c r="H3678" s="27"/>
      <c r="K3678"/>
      <c r="P3678" s="27"/>
      <c r="Q3678" s="27"/>
      <c r="R3678" s="27"/>
    </row>
    <row r="3679" spans="1:18">
      <c r="A3679" s="28"/>
      <c r="B3679" s="29"/>
      <c r="C3679" s="29"/>
      <c r="D3679" s="29"/>
      <c r="E3679" s="29"/>
      <c r="H3679" s="27"/>
      <c r="K3679"/>
      <c r="P3679" s="27"/>
      <c r="Q3679" s="27"/>
      <c r="R3679" s="27"/>
    </row>
    <row r="3680" spans="1:18">
      <c r="A3680" s="28"/>
      <c r="B3680" s="29"/>
      <c r="C3680" s="29"/>
      <c r="D3680" s="29"/>
      <c r="E3680" s="29"/>
      <c r="H3680" s="27"/>
      <c r="K3680"/>
      <c r="P3680" s="27"/>
      <c r="Q3680" s="27"/>
      <c r="R3680" s="27"/>
    </row>
    <row r="3681" spans="1:18">
      <c r="A3681" s="28"/>
      <c r="B3681" s="29"/>
      <c r="C3681" s="29"/>
      <c r="D3681" s="29"/>
      <c r="E3681" s="29"/>
      <c r="H3681" s="27"/>
      <c r="K3681"/>
      <c r="P3681" s="27"/>
      <c r="Q3681" s="27"/>
      <c r="R3681" s="27"/>
    </row>
    <row r="3682" spans="1:18">
      <c r="A3682" s="28"/>
      <c r="B3682" s="29"/>
      <c r="C3682" s="29"/>
      <c r="D3682" s="29"/>
      <c r="E3682" s="29"/>
      <c r="H3682" s="27"/>
      <c r="K3682"/>
      <c r="P3682" s="27"/>
      <c r="Q3682" s="27"/>
      <c r="R3682" s="27"/>
    </row>
    <row r="3683" spans="1:18">
      <c r="A3683" s="28"/>
      <c r="B3683" s="29"/>
      <c r="C3683" s="29"/>
      <c r="D3683" s="29"/>
      <c r="E3683" s="29"/>
      <c r="H3683" s="27"/>
      <c r="K3683"/>
      <c r="P3683" s="27"/>
      <c r="Q3683" s="27"/>
      <c r="R3683" s="27"/>
    </row>
    <row r="3684" spans="1:18">
      <c r="A3684" s="28"/>
      <c r="B3684" s="29"/>
      <c r="C3684" s="29"/>
      <c r="D3684" s="29"/>
      <c r="E3684" s="29"/>
      <c r="H3684" s="27"/>
      <c r="K3684"/>
      <c r="P3684" s="27"/>
      <c r="Q3684" s="27"/>
      <c r="R3684" s="27"/>
    </row>
    <row r="3685" spans="1:18">
      <c r="A3685" s="28"/>
      <c r="B3685" s="29"/>
      <c r="C3685" s="29"/>
      <c r="D3685" s="29"/>
      <c r="E3685" s="29"/>
      <c r="H3685" s="27"/>
      <c r="K3685"/>
      <c r="P3685" s="27"/>
      <c r="Q3685" s="27"/>
      <c r="R3685" s="27"/>
    </row>
    <row r="3686" spans="1:18">
      <c r="A3686" s="28"/>
      <c r="B3686" s="29"/>
      <c r="C3686" s="29"/>
      <c r="D3686" s="29"/>
      <c r="E3686" s="29"/>
      <c r="H3686" s="27"/>
      <c r="K3686"/>
      <c r="P3686" s="27"/>
      <c r="Q3686" s="27"/>
      <c r="R3686" s="27"/>
    </row>
    <row r="3687" spans="1:18">
      <c r="A3687" s="28"/>
      <c r="B3687" s="29"/>
      <c r="C3687" s="29"/>
      <c r="D3687" s="29"/>
      <c r="E3687" s="29"/>
      <c r="H3687" s="27"/>
      <c r="K3687"/>
      <c r="P3687" s="27"/>
      <c r="Q3687" s="27"/>
      <c r="R3687" s="27"/>
    </row>
    <row r="3688" spans="1:18">
      <c r="A3688" s="28"/>
      <c r="B3688" s="29"/>
      <c r="C3688" s="29"/>
      <c r="D3688" s="29"/>
      <c r="E3688" s="29"/>
      <c r="H3688" s="27"/>
      <c r="K3688"/>
      <c r="P3688" s="27"/>
      <c r="Q3688" s="27"/>
      <c r="R3688" s="27"/>
    </row>
    <row r="3689" spans="1:18">
      <c r="A3689" s="28"/>
      <c r="B3689" s="29"/>
      <c r="C3689" s="29"/>
      <c r="D3689" s="29"/>
      <c r="E3689" s="29"/>
      <c r="H3689" s="27"/>
      <c r="K3689"/>
      <c r="P3689" s="27"/>
      <c r="Q3689" s="27"/>
      <c r="R3689" s="27"/>
    </row>
    <row r="3690" spans="1:18">
      <c r="A3690" s="28"/>
      <c r="B3690" s="29"/>
      <c r="C3690" s="29"/>
      <c r="D3690" s="29"/>
      <c r="E3690" s="29"/>
      <c r="H3690" s="27"/>
      <c r="K3690"/>
      <c r="P3690" s="27"/>
      <c r="Q3690" s="27"/>
      <c r="R3690" s="27"/>
    </row>
    <row r="3691" spans="1:18">
      <c r="A3691" s="28"/>
      <c r="B3691" s="29"/>
      <c r="C3691" s="29"/>
      <c r="D3691" s="29"/>
      <c r="E3691" s="29"/>
      <c r="H3691" s="27"/>
      <c r="K3691"/>
      <c r="P3691" s="27"/>
      <c r="Q3691" s="27"/>
      <c r="R3691" s="27"/>
    </row>
    <row r="3692" spans="1:18">
      <c r="A3692" s="28"/>
      <c r="B3692" s="29"/>
      <c r="C3692" s="29"/>
      <c r="D3692" s="29"/>
      <c r="E3692" s="29"/>
      <c r="H3692" s="27"/>
      <c r="K3692"/>
      <c r="P3692" s="27"/>
      <c r="Q3692" s="27"/>
      <c r="R3692" s="27"/>
    </row>
    <row r="3693" spans="1:18">
      <c r="A3693" s="28"/>
      <c r="B3693" s="29"/>
      <c r="C3693" s="29"/>
      <c r="D3693" s="29"/>
      <c r="E3693" s="29"/>
      <c r="H3693" s="27"/>
      <c r="K3693"/>
      <c r="P3693" s="27"/>
      <c r="Q3693" s="27"/>
      <c r="R3693" s="27"/>
    </row>
    <row r="3694" spans="1:18">
      <c r="A3694" s="28"/>
      <c r="B3694" s="29"/>
      <c r="C3694" s="29"/>
      <c r="D3694" s="29"/>
      <c r="E3694" s="29"/>
      <c r="H3694" s="27"/>
      <c r="K3694"/>
      <c r="P3694" s="27"/>
      <c r="Q3694" s="27"/>
      <c r="R3694" s="27"/>
    </row>
    <row r="3695" spans="1:18">
      <c r="A3695" s="28"/>
      <c r="B3695" s="29"/>
      <c r="C3695" s="29"/>
      <c r="D3695" s="29"/>
      <c r="E3695" s="29"/>
      <c r="H3695" s="27"/>
      <c r="K3695"/>
      <c r="P3695" s="27"/>
      <c r="Q3695" s="27"/>
      <c r="R3695" s="27"/>
    </row>
    <row r="3696" spans="1:18">
      <c r="A3696" s="28"/>
      <c r="B3696" s="29"/>
      <c r="C3696" s="29"/>
      <c r="D3696" s="29"/>
      <c r="E3696" s="29"/>
      <c r="H3696" s="27"/>
      <c r="K3696"/>
      <c r="P3696" s="27"/>
      <c r="Q3696" s="27"/>
      <c r="R3696" s="27"/>
    </row>
    <row r="3697" spans="1:18">
      <c r="A3697" s="28"/>
      <c r="B3697" s="29"/>
      <c r="C3697" s="29"/>
      <c r="D3697" s="29"/>
      <c r="E3697" s="29"/>
      <c r="H3697" s="27"/>
      <c r="K3697"/>
      <c r="P3697" s="27"/>
      <c r="Q3697" s="27"/>
      <c r="R3697" s="27"/>
    </row>
    <row r="3698" spans="1:18">
      <c r="A3698" s="28"/>
      <c r="B3698" s="29"/>
      <c r="C3698" s="29"/>
      <c r="D3698" s="29"/>
      <c r="E3698" s="29"/>
      <c r="H3698" s="27"/>
      <c r="K3698"/>
      <c r="P3698" s="27"/>
      <c r="Q3698" s="27"/>
      <c r="R3698" s="27"/>
    </row>
    <row r="3699" spans="1:18">
      <c r="A3699" s="28"/>
      <c r="B3699" s="29"/>
      <c r="C3699" s="29"/>
      <c r="D3699" s="29"/>
      <c r="E3699" s="29"/>
      <c r="H3699" s="27"/>
      <c r="K3699"/>
      <c r="P3699" s="27"/>
      <c r="Q3699" s="27"/>
      <c r="R3699" s="27"/>
    </row>
    <row r="3700" spans="1:18">
      <c r="A3700" s="28"/>
      <c r="B3700" s="29"/>
      <c r="C3700" s="29"/>
      <c r="D3700" s="29"/>
      <c r="E3700" s="29"/>
      <c r="H3700" s="27"/>
      <c r="K3700"/>
      <c r="P3700" s="27"/>
      <c r="Q3700" s="27"/>
      <c r="R3700" s="27"/>
    </row>
    <row r="3701" spans="1:18">
      <c r="A3701" s="28"/>
      <c r="B3701" s="29"/>
      <c r="C3701" s="29"/>
      <c r="D3701" s="29"/>
      <c r="E3701" s="29"/>
      <c r="H3701" s="27"/>
      <c r="K3701"/>
      <c r="P3701" s="27"/>
      <c r="Q3701" s="27"/>
      <c r="R3701" s="27"/>
    </row>
    <row r="3702" spans="1:18">
      <c r="A3702" s="28"/>
      <c r="B3702" s="29"/>
      <c r="C3702" s="29"/>
      <c r="D3702" s="29"/>
      <c r="E3702" s="29"/>
      <c r="H3702" s="27"/>
      <c r="K3702"/>
      <c r="P3702" s="27"/>
      <c r="Q3702" s="27"/>
      <c r="R3702" s="27"/>
    </row>
    <row r="3703" spans="1:18">
      <c r="A3703" s="28"/>
      <c r="B3703" s="29"/>
      <c r="C3703" s="29"/>
      <c r="D3703" s="29"/>
      <c r="E3703" s="29"/>
      <c r="H3703" s="27"/>
      <c r="K3703"/>
      <c r="P3703" s="27"/>
      <c r="Q3703" s="27"/>
      <c r="R3703" s="27"/>
    </row>
    <row r="3704" spans="1:18">
      <c r="A3704" s="28"/>
      <c r="B3704" s="29"/>
      <c r="C3704" s="29"/>
      <c r="D3704" s="29"/>
      <c r="E3704" s="29"/>
      <c r="H3704" s="27"/>
      <c r="K3704"/>
      <c r="P3704" s="27"/>
      <c r="Q3704" s="27"/>
      <c r="R3704" s="27"/>
    </row>
    <row r="3705" spans="1:18">
      <c r="A3705" s="28"/>
      <c r="B3705" s="29"/>
      <c r="C3705" s="29"/>
      <c r="D3705" s="29"/>
      <c r="E3705" s="29"/>
      <c r="H3705" s="27"/>
      <c r="K3705"/>
      <c r="P3705" s="27"/>
      <c r="Q3705" s="27"/>
      <c r="R3705" s="27"/>
    </row>
    <row r="3706" spans="1:18">
      <c r="A3706" s="28"/>
      <c r="B3706" s="29"/>
      <c r="C3706" s="29"/>
      <c r="D3706" s="29"/>
      <c r="E3706" s="29"/>
      <c r="H3706" s="27"/>
      <c r="K3706"/>
      <c r="P3706" s="27"/>
      <c r="Q3706" s="27"/>
      <c r="R3706" s="27"/>
    </row>
    <row r="3707" spans="1:18">
      <c r="A3707" s="28"/>
      <c r="B3707" s="29"/>
      <c r="C3707" s="29"/>
      <c r="D3707" s="29"/>
      <c r="E3707" s="29"/>
      <c r="H3707" s="27"/>
      <c r="K3707"/>
      <c r="P3707" s="27"/>
      <c r="Q3707" s="27"/>
      <c r="R3707" s="27"/>
    </row>
    <row r="3708" spans="1:18">
      <c r="A3708" s="28"/>
      <c r="B3708" s="29"/>
      <c r="C3708" s="29"/>
      <c r="D3708" s="29"/>
      <c r="E3708" s="29"/>
      <c r="H3708" s="27"/>
      <c r="K3708"/>
      <c r="P3708" s="27"/>
      <c r="Q3708" s="27"/>
      <c r="R3708" s="27"/>
    </row>
    <row r="3709" spans="1:18">
      <c r="A3709" s="28"/>
      <c r="B3709" s="29"/>
      <c r="C3709" s="29"/>
      <c r="D3709" s="29"/>
      <c r="E3709" s="29"/>
      <c r="H3709" s="27"/>
      <c r="K3709"/>
      <c r="P3709" s="27"/>
      <c r="Q3709" s="27"/>
      <c r="R3709" s="27"/>
    </row>
    <row r="3710" spans="1:18">
      <c r="A3710" s="28"/>
      <c r="B3710" s="29"/>
      <c r="C3710" s="29"/>
      <c r="D3710" s="29"/>
      <c r="E3710" s="29"/>
      <c r="H3710" s="27"/>
      <c r="K3710"/>
      <c r="P3710" s="27"/>
      <c r="Q3710" s="27"/>
      <c r="R3710" s="27"/>
    </row>
    <row r="3711" spans="1:18">
      <c r="A3711" s="28"/>
      <c r="B3711" s="29"/>
      <c r="C3711" s="29"/>
      <c r="D3711" s="29"/>
      <c r="E3711" s="29"/>
      <c r="H3711" s="27"/>
      <c r="K3711"/>
      <c r="P3711" s="27"/>
      <c r="Q3711" s="27"/>
      <c r="R3711" s="27"/>
    </row>
    <row r="3712" spans="1:18">
      <c r="A3712" s="28"/>
      <c r="B3712" s="29"/>
      <c r="C3712" s="29"/>
      <c r="D3712" s="29"/>
      <c r="E3712" s="29"/>
      <c r="H3712" s="27"/>
      <c r="K3712"/>
      <c r="P3712" s="27"/>
      <c r="Q3712" s="27"/>
      <c r="R3712" s="27"/>
    </row>
    <row r="3713" spans="1:18">
      <c r="A3713" s="28"/>
      <c r="B3713" s="29"/>
      <c r="C3713" s="29"/>
      <c r="D3713" s="29"/>
      <c r="E3713" s="29"/>
      <c r="H3713" s="27"/>
      <c r="K3713"/>
      <c r="P3713" s="27"/>
      <c r="Q3713" s="27"/>
      <c r="R3713" s="27"/>
    </row>
    <row r="3714" spans="1:18">
      <c r="A3714" s="28"/>
      <c r="B3714" s="29"/>
      <c r="C3714" s="29"/>
      <c r="D3714" s="29"/>
      <c r="E3714" s="29"/>
      <c r="H3714" s="27"/>
      <c r="K3714"/>
      <c r="P3714" s="27"/>
      <c r="Q3714" s="27"/>
      <c r="R3714" s="27"/>
    </row>
    <row r="3715" spans="1:18">
      <c r="A3715" s="28"/>
      <c r="B3715" s="29"/>
      <c r="C3715" s="29"/>
      <c r="D3715" s="29"/>
      <c r="E3715" s="29"/>
      <c r="H3715" s="27"/>
      <c r="K3715"/>
      <c r="P3715" s="27"/>
      <c r="Q3715" s="27"/>
      <c r="R3715" s="27"/>
    </row>
    <row r="3716" spans="1:18">
      <c r="A3716" s="28"/>
      <c r="B3716" s="29"/>
      <c r="C3716" s="29"/>
      <c r="D3716" s="29"/>
      <c r="E3716" s="29"/>
      <c r="H3716" s="27"/>
      <c r="K3716"/>
      <c r="P3716" s="27"/>
      <c r="Q3716" s="27"/>
      <c r="R3716" s="27"/>
    </row>
    <row r="3717" spans="1:18">
      <c r="A3717" s="28"/>
      <c r="B3717" s="29"/>
      <c r="C3717" s="29"/>
      <c r="D3717" s="29"/>
      <c r="E3717" s="29"/>
      <c r="H3717" s="27"/>
      <c r="K3717"/>
      <c r="P3717" s="27"/>
      <c r="Q3717" s="27"/>
      <c r="R3717" s="27"/>
    </row>
    <row r="3718" spans="1:18">
      <c r="A3718" s="28"/>
      <c r="B3718" s="29"/>
      <c r="C3718" s="29"/>
      <c r="D3718" s="29"/>
      <c r="E3718" s="29"/>
      <c r="H3718" s="27"/>
      <c r="K3718"/>
      <c r="P3718" s="27"/>
      <c r="Q3718" s="27"/>
      <c r="R3718" s="27"/>
    </row>
    <row r="3719" spans="1:18">
      <c r="A3719" s="28"/>
      <c r="B3719" s="29"/>
      <c r="C3719" s="29"/>
      <c r="D3719" s="29"/>
      <c r="E3719" s="29"/>
      <c r="H3719" s="27"/>
      <c r="K3719"/>
      <c r="P3719" s="27"/>
      <c r="Q3719" s="27"/>
      <c r="R3719" s="27"/>
    </row>
    <row r="3720" spans="1:18">
      <c r="A3720" s="28"/>
      <c r="B3720" s="29"/>
      <c r="C3720" s="29"/>
      <c r="D3720" s="29"/>
      <c r="E3720" s="29"/>
      <c r="H3720" s="27"/>
      <c r="K3720"/>
      <c r="P3720" s="27"/>
      <c r="Q3720" s="27"/>
      <c r="R3720" s="27"/>
    </row>
    <row r="3721" spans="1:18">
      <c r="A3721" s="28"/>
      <c r="B3721" s="29"/>
      <c r="C3721" s="29"/>
      <c r="D3721" s="29"/>
      <c r="E3721" s="29"/>
      <c r="H3721" s="27"/>
      <c r="K3721"/>
      <c r="P3721" s="27"/>
      <c r="Q3721" s="27"/>
      <c r="R3721" s="27"/>
    </row>
    <row r="3722" spans="1:18">
      <c r="A3722" s="28"/>
      <c r="B3722" s="29"/>
      <c r="C3722" s="29"/>
      <c r="D3722" s="29"/>
      <c r="E3722" s="29"/>
      <c r="H3722" s="27"/>
      <c r="K3722"/>
      <c r="P3722" s="27"/>
      <c r="Q3722" s="27"/>
      <c r="R3722" s="27"/>
    </row>
    <row r="3723" spans="1:18">
      <c r="A3723" s="28"/>
      <c r="B3723" s="29"/>
      <c r="C3723" s="29"/>
      <c r="D3723" s="29"/>
      <c r="E3723" s="29"/>
      <c r="H3723" s="27"/>
      <c r="K3723"/>
      <c r="P3723" s="27"/>
      <c r="Q3723" s="27"/>
      <c r="R3723" s="27"/>
    </row>
    <row r="3724" spans="1:18">
      <c r="A3724" s="28"/>
      <c r="B3724" s="29"/>
      <c r="C3724" s="29"/>
      <c r="D3724" s="29"/>
      <c r="E3724" s="29"/>
      <c r="H3724" s="27"/>
      <c r="K3724"/>
      <c r="P3724" s="27"/>
      <c r="Q3724" s="27"/>
      <c r="R3724" s="27"/>
    </row>
    <row r="3725" spans="1:18">
      <c r="A3725" s="28"/>
      <c r="B3725" s="29"/>
      <c r="C3725" s="29"/>
      <c r="D3725" s="29"/>
      <c r="E3725" s="29"/>
      <c r="H3725" s="27"/>
      <c r="K3725"/>
      <c r="P3725" s="27"/>
      <c r="Q3725" s="27"/>
      <c r="R3725" s="27"/>
    </row>
    <row r="3726" spans="1:18">
      <c r="A3726" s="28"/>
      <c r="B3726" s="29"/>
      <c r="C3726" s="29"/>
      <c r="D3726" s="29"/>
      <c r="E3726" s="29"/>
      <c r="H3726" s="27"/>
      <c r="K3726"/>
      <c r="P3726" s="27"/>
      <c r="Q3726" s="27"/>
      <c r="R3726" s="27"/>
    </row>
    <row r="3727" spans="1:18">
      <c r="A3727" s="28"/>
      <c r="B3727" s="29"/>
      <c r="C3727" s="29"/>
      <c r="D3727" s="29"/>
      <c r="E3727" s="29"/>
      <c r="H3727" s="27"/>
      <c r="K3727"/>
      <c r="P3727" s="27"/>
      <c r="Q3727" s="27"/>
      <c r="R3727" s="27"/>
    </row>
    <row r="3728" spans="1:18">
      <c r="A3728" s="28"/>
      <c r="B3728" s="29"/>
      <c r="C3728" s="29"/>
      <c r="D3728" s="29"/>
      <c r="E3728" s="29"/>
      <c r="H3728" s="27"/>
      <c r="K3728"/>
      <c r="P3728" s="27"/>
      <c r="Q3728" s="27"/>
      <c r="R3728" s="27"/>
    </row>
    <row r="3729" spans="1:18">
      <c r="A3729" s="28"/>
      <c r="B3729" s="29"/>
      <c r="C3729" s="29"/>
      <c r="D3729" s="29"/>
      <c r="E3729" s="29"/>
      <c r="H3729" s="27"/>
      <c r="K3729"/>
      <c r="P3729" s="27"/>
      <c r="Q3729" s="27"/>
      <c r="R3729" s="27"/>
    </row>
    <row r="3730" spans="1:18">
      <c r="A3730" s="28"/>
      <c r="B3730" s="29"/>
      <c r="C3730" s="29"/>
      <c r="D3730" s="29"/>
      <c r="E3730" s="29"/>
      <c r="H3730" s="27"/>
      <c r="K3730"/>
      <c r="P3730" s="27"/>
      <c r="Q3730" s="27"/>
      <c r="R3730" s="27"/>
    </row>
    <row r="3731" spans="1:18">
      <c r="A3731" s="28"/>
      <c r="B3731" s="29"/>
      <c r="C3731" s="29"/>
      <c r="D3731" s="29"/>
      <c r="E3731" s="29"/>
      <c r="H3731" s="27"/>
      <c r="K3731"/>
      <c r="P3731" s="27"/>
      <c r="Q3731" s="27"/>
      <c r="R3731" s="27"/>
    </row>
    <row r="3732" spans="1:18">
      <c r="A3732" s="28"/>
      <c r="B3732" s="29"/>
      <c r="C3732" s="29"/>
      <c r="D3732" s="29"/>
      <c r="E3732" s="29"/>
      <c r="H3732" s="27"/>
      <c r="K3732"/>
      <c r="P3732" s="27"/>
      <c r="Q3732" s="27"/>
      <c r="R3732" s="27"/>
    </row>
    <row r="3733" spans="1:18">
      <c r="A3733" s="28"/>
      <c r="B3733" s="29"/>
      <c r="C3733" s="29"/>
      <c r="D3733" s="29"/>
      <c r="E3733" s="29"/>
      <c r="H3733" s="27"/>
      <c r="K3733"/>
      <c r="P3733" s="27"/>
      <c r="Q3733" s="27"/>
      <c r="R3733" s="27"/>
    </row>
    <row r="3734" spans="1:18">
      <c r="A3734" s="28"/>
      <c r="B3734" s="29"/>
      <c r="C3734" s="29"/>
      <c r="D3734" s="29"/>
      <c r="E3734" s="29"/>
      <c r="H3734" s="27"/>
      <c r="K3734"/>
      <c r="P3734" s="27"/>
      <c r="Q3734" s="27"/>
      <c r="R3734" s="27"/>
    </row>
    <row r="3735" spans="1:18">
      <c r="A3735" s="28"/>
      <c r="B3735" s="29"/>
      <c r="C3735" s="29"/>
      <c r="D3735" s="29"/>
      <c r="E3735" s="29"/>
      <c r="H3735" s="27"/>
      <c r="K3735"/>
      <c r="P3735" s="27"/>
      <c r="Q3735" s="27"/>
      <c r="R3735" s="27"/>
    </row>
    <row r="3736" spans="1:18">
      <c r="A3736" s="28"/>
      <c r="B3736" s="29"/>
      <c r="C3736" s="29"/>
      <c r="D3736" s="29"/>
      <c r="E3736" s="29"/>
      <c r="H3736" s="27"/>
      <c r="K3736"/>
      <c r="P3736" s="27"/>
      <c r="Q3736" s="27"/>
      <c r="R3736" s="27"/>
    </row>
    <row r="3737" spans="1:18">
      <c r="A3737" s="28"/>
      <c r="B3737" s="29"/>
      <c r="C3737" s="29"/>
      <c r="D3737" s="29"/>
      <c r="E3737" s="29"/>
      <c r="H3737" s="27"/>
      <c r="K3737"/>
      <c r="P3737" s="27"/>
      <c r="Q3737" s="27"/>
      <c r="R3737" s="27"/>
    </row>
    <row r="3738" spans="1:18">
      <c r="A3738" s="28"/>
      <c r="B3738" s="29"/>
      <c r="C3738" s="29"/>
      <c r="D3738" s="29"/>
      <c r="E3738" s="29"/>
      <c r="H3738" s="27"/>
      <c r="K3738"/>
      <c r="P3738" s="27"/>
      <c r="Q3738" s="27"/>
      <c r="R3738" s="27"/>
    </row>
    <row r="3739" spans="1:18">
      <c r="A3739" s="28"/>
      <c r="B3739" s="29"/>
      <c r="C3739" s="29"/>
      <c r="D3739" s="29"/>
      <c r="E3739" s="29"/>
      <c r="H3739" s="27"/>
      <c r="K3739"/>
      <c r="P3739" s="27"/>
      <c r="Q3739" s="27"/>
      <c r="R3739" s="27"/>
    </row>
    <row r="3740" spans="1:18">
      <c r="A3740" s="28"/>
      <c r="B3740" s="29"/>
      <c r="C3740" s="29"/>
      <c r="D3740" s="29"/>
      <c r="E3740" s="29"/>
      <c r="H3740" s="27"/>
      <c r="K3740"/>
      <c r="P3740" s="27"/>
      <c r="Q3740" s="27"/>
      <c r="R3740" s="27"/>
    </row>
    <row r="3741" spans="1:18">
      <c r="A3741" s="28"/>
      <c r="B3741" s="29"/>
      <c r="C3741" s="29"/>
      <c r="D3741" s="29"/>
      <c r="E3741" s="29"/>
      <c r="H3741" s="27"/>
      <c r="K3741"/>
      <c r="P3741" s="27"/>
      <c r="Q3741" s="27"/>
      <c r="R3741" s="27"/>
    </row>
    <row r="3742" spans="1:18">
      <c r="A3742" s="28"/>
      <c r="B3742" s="29"/>
      <c r="C3742" s="29"/>
      <c r="D3742" s="29"/>
      <c r="E3742" s="29"/>
      <c r="H3742" s="27"/>
      <c r="K3742"/>
      <c r="P3742" s="27"/>
      <c r="Q3742" s="27"/>
      <c r="R3742" s="27"/>
    </row>
    <row r="3743" spans="1:18">
      <c r="A3743" s="28"/>
      <c r="B3743" s="29"/>
      <c r="C3743" s="29"/>
      <c r="D3743" s="29"/>
      <c r="E3743" s="29"/>
      <c r="H3743" s="27"/>
      <c r="K3743"/>
      <c r="P3743" s="27"/>
      <c r="Q3743" s="27"/>
      <c r="R3743" s="27"/>
    </row>
    <row r="3744" spans="1:18">
      <c r="A3744" s="28"/>
      <c r="B3744" s="29"/>
      <c r="C3744" s="29"/>
      <c r="D3744" s="29"/>
      <c r="E3744" s="29"/>
      <c r="H3744" s="27"/>
      <c r="K3744"/>
      <c r="P3744" s="27"/>
      <c r="Q3744" s="27"/>
      <c r="R3744" s="27"/>
    </row>
    <row r="3745" spans="1:18">
      <c r="A3745" s="28"/>
      <c r="B3745" s="29"/>
      <c r="C3745" s="29"/>
      <c r="D3745" s="29"/>
      <c r="E3745" s="29"/>
      <c r="H3745" s="27"/>
      <c r="K3745"/>
      <c r="P3745" s="27"/>
      <c r="Q3745" s="27"/>
      <c r="R3745" s="27"/>
    </row>
    <row r="3746" spans="1:18">
      <c r="A3746" s="28"/>
      <c r="B3746" s="29"/>
      <c r="C3746" s="29"/>
      <c r="D3746" s="29"/>
      <c r="E3746" s="29"/>
      <c r="H3746" s="27"/>
      <c r="K3746"/>
      <c r="P3746" s="27"/>
      <c r="Q3746" s="27"/>
      <c r="R3746" s="27"/>
    </row>
    <row r="3747" spans="1:18">
      <c r="A3747" s="28"/>
      <c r="B3747" s="29"/>
      <c r="C3747" s="29"/>
      <c r="D3747" s="29"/>
      <c r="E3747" s="29"/>
      <c r="H3747" s="27"/>
      <c r="K3747"/>
      <c r="P3747" s="27"/>
      <c r="Q3747" s="27"/>
      <c r="R3747" s="27"/>
    </row>
    <row r="3748" spans="1:18">
      <c r="A3748" s="28"/>
      <c r="B3748" s="29"/>
      <c r="C3748" s="29"/>
      <c r="D3748" s="29"/>
      <c r="E3748" s="29"/>
      <c r="H3748" s="27"/>
      <c r="K3748"/>
      <c r="P3748" s="27"/>
      <c r="Q3748" s="27"/>
      <c r="R3748" s="27"/>
    </row>
    <row r="3749" spans="1:18">
      <c r="A3749" s="28"/>
      <c r="B3749" s="29"/>
      <c r="C3749" s="29"/>
      <c r="D3749" s="29"/>
      <c r="E3749" s="29"/>
      <c r="H3749" s="27"/>
      <c r="K3749"/>
      <c r="P3749" s="27"/>
      <c r="Q3749" s="27"/>
      <c r="R3749" s="27"/>
    </row>
    <row r="3750" spans="1:18">
      <c r="A3750" s="28"/>
      <c r="B3750" s="29"/>
      <c r="C3750" s="29"/>
      <c r="D3750" s="29"/>
      <c r="E3750" s="29"/>
      <c r="H3750" s="27"/>
      <c r="K3750"/>
      <c r="P3750" s="27"/>
      <c r="Q3750" s="27"/>
      <c r="R3750" s="27"/>
    </row>
    <row r="3751" spans="1:18">
      <c r="A3751" s="28"/>
      <c r="B3751" s="29"/>
      <c r="C3751" s="29"/>
      <c r="D3751" s="29"/>
      <c r="E3751" s="29"/>
      <c r="H3751" s="27"/>
      <c r="K3751"/>
      <c r="P3751" s="27"/>
      <c r="Q3751" s="27"/>
      <c r="R3751" s="27"/>
    </row>
    <row r="3752" spans="1:18">
      <c r="A3752" s="28"/>
      <c r="B3752" s="29"/>
      <c r="C3752" s="29"/>
      <c r="D3752" s="29"/>
      <c r="E3752" s="29"/>
      <c r="H3752" s="27"/>
      <c r="K3752"/>
      <c r="P3752" s="27"/>
      <c r="Q3752" s="27"/>
      <c r="R3752" s="27"/>
    </row>
    <row r="3753" spans="1:18">
      <c r="A3753" s="28"/>
      <c r="B3753" s="29"/>
      <c r="C3753" s="29"/>
      <c r="D3753" s="29"/>
      <c r="E3753" s="29"/>
      <c r="H3753" s="27"/>
      <c r="K3753"/>
      <c r="P3753" s="27"/>
      <c r="Q3753" s="27"/>
      <c r="R3753" s="27"/>
    </row>
    <row r="3754" spans="1:18">
      <c r="A3754" s="28"/>
      <c r="B3754" s="29"/>
      <c r="C3754" s="29"/>
      <c r="D3754" s="29"/>
      <c r="E3754" s="29"/>
      <c r="H3754" s="27"/>
      <c r="K3754"/>
      <c r="P3754" s="27"/>
      <c r="Q3754" s="27"/>
      <c r="R3754" s="27"/>
    </row>
    <row r="3755" spans="1:18">
      <c r="A3755" s="28"/>
      <c r="B3755" s="29"/>
      <c r="C3755" s="29"/>
      <c r="D3755" s="29"/>
      <c r="E3755" s="29"/>
      <c r="H3755" s="27"/>
      <c r="K3755"/>
      <c r="P3755" s="27"/>
      <c r="Q3755" s="27"/>
      <c r="R3755" s="27"/>
    </row>
    <row r="3756" spans="1:18">
      <c r="A3756" s="28"/>
      <c r="B3756" s="29"/>
      <c r="C3756" s="29"/>
      <c r="D3756" s="29"/>
      <c r="E3756" s="29"/>
      <c r="H3756" s="27"/>
      <c r="K3756"/>
      <c r="P3756" s="27"/>
      <c r="Q3756" s="27"/>
      <c r="R3756" s="27"/>
    </row>
    <row r="3757" spans="1:18">
      <c r="A3757" s="28"/>
      <c r="B3757" s="29"/>
      <c r="C3757" s="29"/>
      <c r="D3757" s="29"/>
      <c r="E3757" s="29"/>
      <c r="H3757" s="27"/>
      <c r="K3757"/>
      <c r="P3757" s="27"/>
      <c r="Q3757" s="27"/>
      <c r="R3757" s="27"/>
    </row>
    <row r="3758" spans="1:18">
      <c r="A3758" s="28"/>
      <c r="B3758" s="29"/>
      <c r="C3758" s="29"/>
      <c r="D3758" s="29"/>
      <c r="E3758" s="29"/>
      <c r="H3758" s="27"/>
      <c r="K3758"/>
      <c r="P3758" s="27"/>
      <c r="Q3758" s="27"/>
      <c r="R3758" s="27"/>
    </row>
    <row r="3759" spans="1:18">
      <c r="A3759" s="28"/>
      <c r="B3759" s="29"/>
      <c r="C3759" s="29"/>
      <c r="D3759" s="29"/>
      <c r="E3759" s="29"/>
      <c r="H3759" s="27"/>
      <c r="K3759"/>
      <c r="P3759" s="27"/>
      <c r="Q3759" s="27"/>
      <c r="R3759" s="27"/>
    </row>
    <row r="3760" spans="1:18">
      <c r="A3760" s="28"/>
      <c r="B3760" s="29"/>
      <c r="C3760" s="29"/>
      <c r="D3760" s="29"/>
      <c r="E3760" s="29"/>
      <c r="H3760" s="27"/>
      <c r="K3760"/>
      <c r="P3760" s="27"/>
      <c r="Q3760" s="27"/>
      <c r="R3760" s="27"/>
    </row>
    <row r="3761" spans="1:18">
      <c r="A3761" s="28"/>
      <c r="B3761" s="29"/>
      <c r="C3761" s="29"/>
      <c r="D3761" s="29"/>
      <c r="E3761" s="29"/>
      <c r="H3761" s="27"/>
      <c r="K3761"/>
      <c r="P3761" s="27"/>
      <c r="Q3761" s="27"/>
      <c r="R3761" s="27"/>
    </row>
    <row r="3762" spans="1:18">
      <c r="A3762" s="28"/>
      <c r="B3762" s="29"/>
      <c r="C3762" s="29"/>
      <c r="D3762" s="29"/>
      <c r="E3762" s="29"/>
      <c r="H3762" s="27"/>
      <c r="K3762"/>
      <c r="P3762" s="27"/>
      <c r="Q3762" s="27"/>
      <c r="R3762" s="27"/>
    </row>
    <row r="3763" spans="1:18">
      <c r="A3763" s="28"/>
      <c r="B3763" s="29"/>
      <c r="C3763" s="29"/>
      <c r="D3763" s="29"/>
      <c r="E3763" s="29"/>
      <c r="H3763" s="27"/>
      <c r="K3763"/>
      <c r="P3763" s="27"/>
      <c r="Q3763" s="27"/>
      <c r="R3763" s="27"/>
    </row>
    <row r="3764" spans="1:18">
      <c r="A3764" s="28"/>
      <c r="B3764" s="29"/>
      <c r="C3764" s="29"/>
      <c r="D3764" s="29"/>
      <c r="E3764" s="29"/>
      <c r="H3764" s="27"/>
      <c r="K3764"/>
      <c r="P3764" s="27"/>
      <c r="Q3764" s="27"/>
      <c r="R3764" s="27"/>
    </row>
    <row r="3765" spans="1:18">
      <c r="A3765" s="28"/>
      <c r="B3765" s="29"/>
      <c r="C3765" s="29"/>
      <c r="D3765" s="29"/>
      <c r="E3765" s="29"/>
      <c r="H3765" s="27"/>
      <c r="K3765"/>
      <c r="P3765" s="27"/>
      <c r="Q3765" s="27"/>
      <c r="R3765" s="27"/>
    </row>
    <row r="3766" spans="1:18">
      <c r="A3766" s="28"/>
      <c r="B3766" s="29"/>
      <c r="C3766" s="29"/>
      <c r="D3766" s="29"/>
      <c r="E3766" s="29"/>
      <c r="H3766" s="27"/>
      <c r="K3766"/>
      <c r="P3766" s="27"/>
      <c r="Q3766" s="27"/>
      <c r="R3766" s="27"/>
    </row>
    <row r="3767" spans="1:18">
      <c r="A3767" s="28"/>
      <c r="B3767" s="29"/>
      <c r="C3767" s="29"/>
      <c r="D3767" s="29"/>
      <c r="E3767" s="29"/>
      <c r="H3767" s="27"/>
      <c r="K3767"/>
      <c r="P3767" s="27"/>
      <c r="Q3767" s="27"/>
      <c r="R3767" s="27"/>
    </row>
    <row r="3768" spans="1:18">
      <c r="A3768" s="28"/>
      <c r="B3768" s="29"/>
      <c r="C3768" s="29"/>
      <c r="D3768" s="29"/>
      <c r="E3768" s="29"/>
      <c r="H3768" s="27"/>
      <c r="K3768"/>
      <c r="P3768" s="27"/>
      <c r="Q3768" s="27"/>
      <c r="R3768" s="27"/>
    </row>
    <row r="3769" spans="1:18">
      <c r="A3769" s="28"/>
      <c r="B3769" s="29"/>
      <c r="C3769" s="29"/>
      <c r="D3769" s="29"/>
      <c r="E3769" s="29"/>
      <c r="H3769" s="27"/>
      <c r="K3769"/>
      <c r="P3769" s="27"/>
      <c r="Q3769" s="27"/>
      <c r="R3769" s="27"/>
    </row>
    <row r="3770" spans="1:18">
      <c r="A3770" s="28"/>
      <c r="B3770" s="29"/>
      <c r="C3770" s="29"/>
      <c r="D3770" s="29"/>
      <c r="E3770" s="29"/>
      <c r="H3770" s="27"/>
      <c r="K3770"/>
      <c r="P3770" s="27"/>
      <c r="Q3770" s="27"/>
      <c r="R3770" s="27"/>
    </row>
    <row r="3771" spans="1:18">
      <c r="A3771" s="28"/>
      <c r="B3771" s="29"/>
      <c r="C3771" s="29"/>
      <c r="D3771" s="29"/>
      <c r="E3771" s="29"/>
      <c r="H3771" s="27"/>
      <c r="K3771"/>
      <c r="P3771" s="27"/>
      <c r="Q3771" s="27"/>
      <c r="R3771" s="27"/>
    </row>
    <row r="3772" spans="1:18">
      <c r="A3772" s="28"/>
      <c r="B3772" s="29"/>
      <c r="C3772" s="29"/>
      <c r="D3772" s="29"/>
      <c r="E3772" s="29"/>
      <c r="H3772" s="27"/>
      <c r="K3772"/>
      <c r="P3772" s="27"/>
      <c r="Q3772" s="27"/>
      <c r="R3772" s="27"/>
    </row>
    <row r="3773" spans="1:18">
      <c r="A3773" s="28"/>
      <c r="B3773" s="29"/>
      <c r="C3773" s="29"/>
      <c r="D3773" s="29"/>
      <c r="E3773" s="29"/>
      <c r="H3773" s="27"/>
      <c r="K3773"/>
      <c r="P3773" s="27"/>
      <c r="Q3773" s="27"/>
      <c r="R3773" s="27"/>
    </row>
    <row r="3774" spans="1:18">
      <c r="A3774" s="28"/>
      <c r="B3774" s="29"/>
      <c r="C3774" s="29"/>
      <c r="D3774" s="29"/>
      <c r="E3774" s="29"/>
      <c r="H3774" s="27"/>
      <c r="K3774"/>
      <c r="P3774" s="27"/>
      <c r="Q3774" s="27"/>
      <c r="R3774" s="27"/>
    </row>
    <row r="3775" spans="1:18">
      <c r="A3775" s="28"/>
      <c r="B3775" s="29"/>
      <c r="C3775" s="29"/>
      <c r="D3775" s="29"/>
      <c r="E3775" s="29"/>
      <c r="H3775" s="27"/>
      <c r="K3775"/>
      <c r="P3775" s="27"/>
      <c r="Q3775" s="27"/>
      <c r="R3775" s="27"/>
    </row>
    <row r="3776" spans="1:18">
      <c r="A3776" s="28"/>
      <c r="B3776" s="29"/>
      <c r="C3776" s="29"/>
      <c r="D3776" s="29"/>
      <c r="E3776" s="29"/>
      <c r="H3776" s="27"/>
      <c r="K3776"/>
      <c r="P3776" s="27"/>
      <c r="Q3776" s="27"/>
      <c r="R3776" s="27"/>
    </row>
    <row r="3777" spans="1:18">
      <c r="A3777" s="28"/>
      <c r="B3777" s="29"/>
      <c r="C3777" s="29"/>
      <c r="D3777" s="29"/>
      <c r="E3777" s="29"/>
      <c r="H3777" s="27"/>
      <c r="K3777"/>
      <c r="P3777" s="27"/>
      <c r="Q3777" s="27"/>
      <c r="R3777" s="27"/>
    </row>
    <row r="3778" spans="1:18">
      <c r="A3778" s="28"/>
      <c r="B3778" s="29"/>
      <c r="C3778" s="29"/>
      <c r="D3778" s="29"/>
      <c r="E3778" s="29"/>
      <c r="H3778" s="27"/>
      <c r="K3778"/>
      <c r="P3778" s="27"/>
      <c r="Q3778" s="27"/>
      <c r="R3778" s="27"/>
    </row>
    <row r="3779" spans="1:18">
      <c r="A3779" s="28"/>
      <c r="B3779" s="29"/>
      <c r="C3779" s="29"/>
      <c r="D3779" s="29"/>
      <c r="E3779" s="29"/>
      <c r="H3779" s="27"/>
      <c r="K3779"/>
      <c r="P3779" s="27"/>
      <c r="Q3779" s="27"/>
      <c r="R3779" s="27"/>
    </row>
    <row r="3780" spans="1:18">
      <c r="A3780" s="28"/>
      <c r="B3780" s="29"/>
      <c r="C3780" s="29"/>
      <c r="D3780" s="29"/>
      <c r="E3780" s="29"/>
      <c r="H3780" s="27"/>
      <c r="K3780"/>
      <c r="P3780" s="27"/>
      <c r="Q3780" s="27"/>
      <c r="R3780" s="27"/>
    </row>
    <row r="3781" spans="1:18">
      <c r="A3781" s="28"/>
      <c r="B3781" s="29"/>
      <c r="C3781" s="29"/>
      <c r="D3781" s="29"/>
      <c r="E3781" s="29"/>
      <c r="H3781" s="27"/>
      <c r="K3781"/>
      <c r="P3781" s="27"/>
      <c r="Q3781" s="27"/>
      <c r="R3781" s="27"/>
    </row>
    <row r="3782" spans="1:18">
      <c r="A3782" s="28"/>
      <c r="B3782" s="29"/>
      <c r="C3782" s="29"/>
      <c r="D3782" s="29"/>
      <c r="E3782" s="29"/>
      <c r="H3782" s="27"/>
      <c r="K3782"/>
      <c r="P3782" s="27"/>
      <c r="Q3782" s="27"/>
      <c r="R3782" s="27"/>
    </row>
    <row r="3783" spans="1:18">
      <c r="A3783" s="28"/>
      <c r="B3783" s="29"/>
      <c r="C3783" s="29"/>
      <c r="D3783" s="29"/>
      <c r="E3783" s="29"/>
      <c r="H3783" s="27"/>
      <c r="K3783"/>
      <c r="P3783" s="27"/>
      <c r="Q3783" s="27"/>
      <c r="R3783" s="27"/>
    </row>
    <row r="3784" spans="1:18">
      <c r="A3784" s="28"/>
      <c r="B3784" s="29"/>
      <c r="C3784" s="29"/>
      <c r="D3784" s="29"/>
      <c r="E3784" s="29"/>
      <c r="H3784" s="27"/>
      <c r="K3784"/>
      <c r="P3784" s="27"/>
      <c r="Q3784" s="27"/>
      <c r="R3784" s="27"/>
    </row>
    <row r="3785" spans="1:18">
      <c r="A3785" s="28"/>
      <c r="B3785" s="29"/>
      <c r="C3785" s="29"/>
      <c r="D3785" s="29"/>
      <c r="E3785" s="29"/>
      <c r="H3785" s="27"/>
      <c r="K3785"/>
      <c r="P3785" s="27"/>
      <c r="Q3785" s="27"/>
      <c r="R3785" s="27"/>
    </row>
    <row r="3786" spans="1:18">
      <c r="A3786" s="28"/>
      <c r="B3786" s="29"/>
      <c r="C3786" s="29"/>
      <c r="D3786" s="29"/>
      <c r="E3786" s="29"/>
      <c r="H3786" s="27"/>
      <c r="K3786"/>
      <c r="P3786" s="27"/>
      <c r="Q3786" s="27"/>
      <c r="R3786" s="27"/>
    </row>
    <row r="3787" spans="1:18">
      <c r="A3787" s="28"/>
      <c r="B3787" s="29"/>
      <c r="C3787" s="29"/>
      <c r="D3787" s="29"/>
      <c r="E3787" s="29"/>
      <c r="H3787" s="27"/>
      <c r="K3787"/>
      <c r="P3787" s="27"/>
      <c r="Q3787" s="27"/>
      <c r="R3787" s="27"/>
    </row>
    <row r="3788" spans="1:18">
      <c r="A3788" s="28"/>
      <c r="B3788" s="29"/>
      <c r="C3788" s="29"/>
      <c r="D3788" s="29"/>
      <c r="E3788" s="29"/>
      <c r="H3788" s="27"/>
      <c r="K3788"/>
      <c r="P3788" s="27"/>
      <c r="Q3788" s="27"/>
      <c r="R3788" s="27"/>
    </row>
    <row r="3789" spans="1:18">
      <c r="A3789" s="28"/>
      <c r="B3789" s="29"/>
      <c r="C3789" s="29"/>
      <c r="D3789" s="29"/>
      <c r="E3789" s="29"/>
      <c r="H3789" s="27"/>
      <c r="K3789"/>
      <c r="P3789" s="27"/>
      <c r="Q3789" s="27"/>
      <c r="R3789" s="27"/>
    </row>
    <row r="3790" spans="1:18">
      <c r="A3790" s="28"/>
      <c r="B3790" s="29"/>
      <c r="C3790" s="29"/>
      <c r="D3790" s="29"/>
      <c r="E3790" s="29"/>
      <c r="H3790" s="27"/>
      <c r="K3790"/>
      <c r="P3790" s="27"/>
      <c r="Q3790" s="27"/>
      <c r="R3790" s="27"/>
    </row>
    <row r="3791" spans="1:18">
      <c r="A3791" s="28"/>
      <c r="B3791" s="29"/>
      <c r="C3791" s="29"/>
      <c r="D3791" s="29"/>
      <c r="E3791" s="29"/>
      <c r="H3791" s="27"/>
      <c r="K3791"/>
      <c r="P3791" s="27"/>
      <c r="Q3791" s="27"/>
      <c r="R3791" s="27"/>
    </row>
    <row r="3792" spans="1:18">
      <c r="A3792" s="28"/>
      <c r="B3792" s="29"/>
      <c r="C3792" s="29"/>
      <c r="D3792" s="29"/>
      <c r="E3792" s="29"/>
      <c r="H3792" s="27"/>
      <c r="K3792"/>
      <c r="P3792" s="27"/>
      <c r="Q3792" s="27"/>
      <c r="R3792" s="27"/>
    </row>
    <row r="3793" spans="1:18">
      <c r="A3793" s="28"/>
      <c r="B3793" s="29"/>
      <c r="C3793" s="29"/>
      <c r="D3793" s="29"/>
      <c r="E3793" s="29"/>
      <c r="H3793" s="27"/>
      <c r="K3793"/>
      <c r="P3793" s="27"/>
      <c r="Q3793" s="27"/>
      <c r="R3793" s="27"/>
    </row>
    <row r="3794" spans="1:18">
      <c r="A3794" s="28"/>
      <c r="B3794" s="29"/>
      <c r="C3794" s="29"/>
      <c r="D3794" s="29"/>
      <c r="E3794" s="29"/>
      <c r="H3794" s="27"/>
      <c r="K3794"/>
      <c r="P3794" s="27"/>
      <c r="Q3794" s="27"/>
      <c r="R3794" s="27"/>
    </row>
    <row r="3795" spans="1:18">
      <c r="A3795" s="28"/>
      <c r="B3795" s="29"/>
      <c r="C3795" s="29"/>
      <c r="D3795" s="29"/>
      <c r="E3795" s="29"/>
      <c r="H3795" s="27"/>
      <c r="K3795"/>
      <c r="P3795" s="27"/>
      <c r="Q3795" s="27"/>
      <c r="R3795" s="27"/>
    </row>
    <row r="3796" spans="1:18">
      <c r="A3796" s="28"/>
      <c r="B3796" s="29"/>
      <c r="C3796" s="29"/>
      <c r="D3796" s="29"/>
      <c r="E3796" s="29"/>
      <c r="H3796" s="27"/>
      <c r="K3796"/>
      <c r="P3796" s="27"/>
      <c r="Q3796" s="27"/>
      <c r="R3796" s="27"/>
    </row>
    <row r="3797" spans="1:18">
      <c r="A3797" s="28"/>
      <c r="B3797" s="29"/>
      <c r="C3797" s="29"/>
      <c r="D3797" s="29"/>
      <c r="E3797" s="29"/>
      <c r="H3797" s="27"/>
      <c r="K3797"/>
      <c r="P3797" s="27"/>
      <c r="Q3797" s="27"/>
      <c r="R3797" s="27"/>
    </row>
    <row r="3798" spans="1:18">
      <c r="A3798" s="28"/>
      <c r="B3798" s="29"/>
      <c r="C3798" s="29"/>
      <c r="D3798" s="29"/>
      <c r="E3798" s="29"/>
      <c r="H3798" s="27"/>
      <c r="K3798"/>
      <c r="P3798" s="27"/>
      <c r="Q3798" s="27"/>
      <c r="R3798" s="27"/>
    </row>
    <row r="3799" spans="1:18">
      <c r="A3799" s="28"/>
      <c r="B3799" s="29"/>
      <c r="C3799" s="29"/>
      <c r="D3799" s="29"/>
      <c r="E3799" s="29"/>
      <c r="H3799" s="27"/>
      <c r="K3799"/>
      <c r="P3799" s="27"/>
      <c r="Q3799" s="27"/>
      <c r="R3799" s="27"/>
    </row>
    <row r="3800" spans="1:18">
      <c r="A3800" s="28"/>
      <c r="B3800" s="29"/>
      <c r="C3800" s="29"/>
      <c r="D3800" s="29"/>
      <c r="E3800" s="29"/>
      <c r="H3800" s="27"/>
      <c r="K3800"/>
      <c r="P3800" s="27"/>
      <c r="Q3800" s="27"/>
      <c r="R3800" s="27"/>
    </row>
    <row r="3801" spans="1:18">
      <c r="A3801" s="28"/>
      <c r="B3801" s="29"/>
      <c r="C3801" s="29"/>
      <c r="D3801" s="29"/>
      <c r="E3801" s="29"/>
      <c r="H3801" s="27"/>
      <c r="K3801"/>
      <c r="P3801" s="27"/>
      <c r="Q3801" s="27"/>
      <c r="R3801" s="27"/>
    </row>
    <row r="3802" spans="1:18">
      <c r="A3802" s="28"/>
      <c r="B3802" s="29"/>
      <c r="C3802" s="29"/>
      <c r="D3802" s="29"/>
      <c r="E3802" s="29"/>
      <c r="H3802" s="27"/>
      <c r="K3802"/>
      <c r="P3802" s="27"/>
      <c r="Q3802" s="27"/>
      <c r="R3802" s="27"/>
    </row>
    <row r="3803" spans="1:18">
      <c r="A3803" s="28"/>
      <c r="B3803" s="29"/>
      <c r="C3803" s="29"/>
      <c r="D3803" s="29"/>
      <c r="E3803" s="29"/>
      <c r="H3803" s="27"/>
      <c r="K3803"/>
      <c r="P3803" s="27"/>
      <c r="Q3803" s="27"/>
      <c r="R3803" s="27"/>
    </row>
    <row r="3804" spans="1:18">
      <c r="A3804" s="28"/>
      <c r="B3804" s="29"/>
      <c r="C3804" s="29"/>
      <c r="D3804" s="29"/>
      <c r="E3804" s="29"/>
      <c r="H3804" s="27"/>
      <c r="K3804"/>
      <c r="P3804" s="27"/>
      <c r="Q3804" s="27"/>
      <c r="R3804" s="27"/>
    </row>
    <row r="3805" spans="1:18">
      <c r="A3805" s="28"/>
      <c r="B3805" s="29"/>
      <c r="C3805" s="29"/>
      <c r="D3805" s="29"/>
      <c r="E3805" s="29"/>
      <c r="H3805" s="27"/>
      <c r="K3805"/>
      <c r="P3805" s="27"/>
      <c r="Q3805" s="27"/>
      <c r="R3805" s="27"/>
    </row>
    <row r="3806" spans="1:18">
      <c r="A3806" s="28"/>
      <c r="B3806" s="29"/>
      <c r="C3806" s="29"/>
      <c r="D3806" s="29"/>
      <c r="E3806" s="29"/>
      <c r="H3806" s="27"/>
      <c r="K3806"/>
      <c r="P3806" s="27"/>
      <c r="Q3806" s="27"/>
      <c r="R3806" s="27"/>
    </row>
    <row r="3807" spans="1:18">
      <c r="A3807" s="28"/>
      <c r="B3807" s="29"/>
      <c r="C3807" s="29"/>
      <c r="D3807" s="29"/>
      <c r="E3807" s="29"/>
      <c r="H3807" s="27"/>
      <c r="K3807"/>
      <c r="P3807" s="27"/>
      <c r="Q3807" s="27"/>
      <c r="R3807" s="27"/>
    </row>
    <row r="3808" spans="1:18">
      <c r="A3808" s="28"/>
      <c r="B3808" s="29"/>
      <c r="C3808" s="29"/>
      <c r="D3808" s="29"/>
      <c r="E3808" s="29"/>
      <c r="H3808" s="27"/>
      <c r="K3808"/>
      <c r="P3808" s="27"/>
      <c r="Q3808" s="27"/>
      <c r="R3808" s="27"/>
    </row>
    <row r="3809" spans="1:18">
      <c r="A3809" s="28"/>
      <c r="B3809" s="29"/>
      <c r="C3809" s="29"/>
      <c r="D3809" s="29"/>
      <c r="E3809" s="29"/>
      <c r="H3809" s="27"/>
      <c r="K3809"/>
      <c r="P3809" s="27"/>
      <c r="Q3809" s="27"/>
      <c r="R3809" s="27"/>
    </row>
    <row r="3810" spans="1:18">
      <c r="A3810" s="28"/>
      <c r="B3810" s="29"/>
      <c r="C3810" s="29"/>
      <c r="D3810" s="29"/>
      <c r="E3810" s="29"/>
      <c r="H3810" s="27"/>
      <c r="K3810"/>
      <c r="P3810" s="27"/>
      <c r="Q3810" s="27"/>
      <c r="R3810" s="27"/>
    </row>
    <row r="3811" spans="1:18">
      <c r="A3811" s="28"/>
      <c r="B3811" s="29"/>
      <c r="C3811" s="29"/>
      <c r="D3811" s="29"/>
      <c r="E3811" s="29"/>
      <c r="H3811" s="27"/>
      <c r="K3811"/>
      <c r="P3811" s="27"/>
      <c r="Q3811" s="27"/>
      <c r="R3811" s="27"/>
    </row>
    <row r="3812" spans="1:18">
      <c r="A3812" s="28"/>
      <c r="B3812" s="29"/>
      <c r="C3812" s="29"/>
      <c r="D3812" s="29"/>
      <c r="E3812" s="29"/>
      <c r="H3812" s="27"/>
      <c r="K3812"/>
      <c r="P3812" s="27"/>
      <c r="Q3812" s="27"/>
      <c r="R3812" s="27"/>
    </row>
    <row r="3813" spans="1:18">
      <c r="A3813" s="28"/>
      <c r="B3813" s="29"/>
      <c r="C3813" s="29"/>
      <c r="D3813" s="29"/>
      <c r="E3813" s="29"/>
      <c r="H3813" s="27"/>
      <c r="K3813"/>
      <c r="P3813" s="27"/>
      <c r="Q3813" s="27"/>
      <c r="R3813" s="27"/>
    </row>
    <row r="3814" spans="1:18">
      <c r="A3814" s="28"/>
      <c r="B3814" s="29"/>
      <c r="C3814" s="29"/>
      <c r="D3814" s="29"/>
      <c r="E3814" s="29"/>
      <c r="H3814" s="27"/>
      <c r="K3814"/>
      <c r="P3814" s="27"/>
      <c r="Q3814" s="27"/>
      <c r="R3814" s="27"/>
    </row>
    <row r="3815" spans="1:18">
      <c r="A3815" s="28"/>
      <c r="B3815" s="29"/>
      <c r="C3815" s="29"/>
      <c r="D3815" s="29"/>
      <c r="E3815" s="29"/>
      <c r="H3815" s="27"/>
      <c r="K3815"/>
      <c r="P3815" s="27"/>
      <c r="Q3815" s="27"/>
      <c r="R3815" s="27"/>
    </row>
    <row r="3816" spans="1:18">
      <c r="A3816" s="28"/>
      <c r="B3816" s="29"/>
      <c r="C3816" s="29"/>
      <c r="D3816" s="29"/>
      <c r="E3816" s="29"/>
      <c r="H3816" s="27"/>
      <c r="K3816"/>
      <c r="P3816" s="27"/>
      <c r="Q3816" s="27"/>
      <c r="R3816" s="27"/>
    </row>
    <row r="3817" spans="1:18">
      <c r="A3817" s="28"/>
      <c r="B3817" s="29"/>
      <c r="C3817" s="29"/>
      <c r="D3817" s="29"/>
      <c r="E3817" s="29"/>
      <c r="H3817" s="27"/>
      <c r="K3817"/>
      <c r="P3817" s="27"/>
      <c r="Q3817" s="27"/>
      <c r="R3817" s="27"/>
    </row>
    <row r="3818" spans="1:18">
      <c r="A3818" s="28"/>
      <c r="B3818" s="29"/>
      <c r="C3818" s="29"/>
      <c r="D3818" s="29"/>
      <c r="E3818" s="29"/>
      <c r="H3818" s="27"/>
      <c r="K3818"/>
      <c r="P3818" s="27"/>
      <c r="Q3818" s="27"/>
      <c r="R3818" s="27"/>
    </row>
    <row r="3819" spans="1:18">
      <c r="A3819" s="28"/>
      <c r="B3819" s="29"/>
      <c r="C3819" s="29"/>
      <c r="D3819" s="29"/>
      <c r="E3819" s="29"/>
      <c r="H3819" s="27"/>
      <c r="K3819"/>
      <c r="P3819" s="27"/>
      <c r="Q3819" s="27"/>
      <c r="R3819" s="27"/>
    </row>
    <row r="3820" spans="1:18">
      <c r="A3820" s="28"/>
      <c r="B3820" s="29"/>
      <c r="C3820" s="29"/>
      <c r="D3820" s="29"/>
      <c r="E3820" s="29"/>
      <c r="H3820" s="27"/>
      <c r="K3820"/>
      <c r="P3820" s="27"/>
      <c r="Q3820" s="27"/>
      <c r="R3820" s="27"/>
    </row>
    <row r="3821" spans="1:18">
      <c r="A3821" s="28"/>
      <c r="B3821" s="29"/>
      <c r="C3821" s="29"/>
      <c r="D3821" s="29"/>
      <c r="E3821" s="29"/>
      <c r="H3821" s="27"/>
      <c r="K3821"/>
      <c r="P3821" s="27"/>
      <c r="Q3821" s="27"/>
      <c r="R3821" s="27"/>
    </row>
    <row r="3822" spans="1:18">
      <c r="A3822" s="28"/>
      <c r="B3822" s="29"/>
      <c r="C3822" s="29"/>
      <c r="D3822" s="29"/>
      <c r="E3822" s="29"/>
      <c r="H3822" s="27"/>
      <c r="K3822"/>
      <c r="P3822" s="27"/>
      <c r="Q3822" s="27"/>
      <c r="R3822" s="27"/>
    </row>
    <row r="3823" spans="1:18">
      <c r="A3823" s="28"/>
      <c r="B3823" s="29"/>
      <c r="C3823" s="29"/>
      <c r="D3823" s="29"/>
      <c r="E3823" s="29"/>
      <c r="H3823" s="27"/>
      <c r="K3823"/>
      <c r="P3823" s="27"/>
      <c r="Q3823" s="27"/>
      <c r="R3823" s="27"/>
    </row>
    <row r="3824" spans="1:18">
      <c r="A3824" s="28"/>
      <c r="B3824" s="29"/>
      <c r="C3824" s="29"/>
      <c r="D3824" s="29"/>
      <c r="E3824" s="29"/>
      <c r="H3824" s="27"/>
      <c r="K3824"/>
      <c r="P3824" s="27"/>
      <c r="Q3824" s="27"/>
      <c r="R3824" s="27"/>
    </row>
    <row r="3825" spans="1:18">
      <c r="A3825" s="28"/>
      <c r="B3825" s="29"/>
      <c r="C3825" s="29"/>
      <c r="D3825" s="29"/>
      <c r="E3825" s="29"/>
      <c r="H3825" s="27"/>
      <c r="K3825"/>
      <c r="P3825" s="27"/>
      <c r="Q3825" s="27"/>
      <c r="R3825" s="27"/>
    </row>
    <row r="3826" spans="1:18">
      <c r="A3826" s="28"/>
      <c r="B3826" s="29"/>
      <c r="C3826" s="29"/>
      <c r="D3826" s="29"/>
      <c r="E3826" s="29"/>
      <c r="H3826" s="27"/>
      <c r="K3826"/>
      <c r="P3826" s="27"/>
      <c r="Q3826" s="27"/>
      <c r="R3826" s="27"/>
    </row>
    <row r="3827" spans="1:18">
      <c r="A3827" s="28"/>
      <c r="B3827" s="29"/>
      <c r="C3827" s="29"/>
      <c r="D3827" s="29"/>
      <c r="E3827" s="29"/>
      <c r="H3827" s="27"/>
      <c r="K3827"/>
      <c r="P3827" s="27"/>
      <c r="Q3827" s="27"/>
      <c r="R3827" s="27"/>
    </row>
    <row r="3828" spans="1:18">
      <c r="A3828" s="28"/>
      <c r="B3828" s="29"/>
      <c r="C3828" s="29"/>
      <c r="D3828" s="29"/>
      <c r="E3828" s="29"/>
      <c r="H3828" s="27"/>
      <c r="K3828"/>
      <c r="P3828" s="27"/>
      <c r="Q3828" s="27"/>
      <c r="R3828" s="27"/>
    </row>
    <row r="3829" spans="1:18">
      <c r="A3829" s="28"/>
      <c r="B3829" s="29"/>
      <c r="C3829" s="29"/>
      <c r="D3829" s="29"/>
      <c r="E3829" s="29"/>
      <c r="H3829" s="27"/>
      <c r="K3829"/>
      <c r="P3829" s="27"/>
      <c r="Q3829" s="27"/>
      <c r="R3829" s="27"/>
    </row>
    <row r="3830" spans="1:18">
      <c r="A3830" s="28"/>
      <c r="B3830" s="29"/>
      <c r="C3830" s="29"/>
      <c r="D3830" s="29"/>
      <c r="E3830" s="29"/>
      <c r="H3830" s="27"/>
      <c r="K3830"/>
      <c r="P3830" s="27"/>
      <c r="Q3830" s="27"/>
      <c r="R3830" s="27"/>
    </row>
    <row r="3831" spans="1:18">
      <c r="A3831" s="28"/>
      <c r="B3831" s="29"/>
      <c r="C3831" s="29"/>
      <c r="D3831" s="29"/>
      <c r="E3831" s="29"/>
      <c r="H3831" s="27"/>
      <c r="K3831"/>
      <c r="P3831" s="27"/>
      <c r="Q3831" s="27"/>
      <c r="R3831" s="27"/>
    </row>
    <row r="3832" spans="1:18">
      <c r="A3832" s="28"/>
      <c r="B3832" s="29"/>
      <c r="C3832" s="29"/>
      <c r="D3832" s="29"/>
      <c r="E3832" s="29"/>
      <c r="H3832" s="27"/>
      <c r="K3832"/>
      <c r="P3832" s="27"/>
      <c r="Q3832" s="27"/>
      <c r="R3832" s="27"/>
    </row>
    <row r="3833" spans="1:18">
      <c r="A3833" s="28"/>
      <c r="B3833" s="29"/>
      <c r="C3833" s="29"/>
      <c r="D3833" s="29"/>
      <c r="E3833" s="29"/>
      <c r="H3833" s="27"/>
      <c r="K3833"/>
      <c r="P3833" s="27"/>
      <c r="Q3833" s="27"/>
      <c r="R3833" s="27"/>
    </row>
    <row r="3834" spans="1:18">
      <c r="A3834" s="28"/>
      <c r="B3834" s="29"/>
      <c r="C3834" s="29"/>
      <c r="D3834" s="29"/>
      <c r="E3834" s="29"/>
      <c r="H3834" s="27"/>
      <c r="K3834"/>
      <c r="P3834" s="27"/>
      <c r="Q3834" s="27"/>
      <c r="R3834" s="27"/>
    </row>
    <row r="3835" spans="1:18">
      <c r="A3835" s="28"/>
      <c r="B3835" s="29"/>
      <c r="C3835" s="29"/>
      <c r="D3835" s="29"/>
      <c r="E3835" s="29"/>
      <c r="H3835" s="27"/>
      <c r="K3835"/>
      <c r="P3835" s="27"/>
      <c r="Q3835" s="27"/>
      <c r="R3835" s="27"/>
    </row>
    <row r="3836" spans="1:18">
      <c r="A3836" s="28"/>
      <c r="B3836" s="29"/>
      <c r="C3836" s="29"/>
      <c r="D3836" s="29"/>
      <c r="E3836" s="29"/>
      <c r="H3836" s="27"/>
      <c r="K3836"/>
      <c r="P3836" s="27"/>
      <c r="Q3836" s="27"/>
      <c r="R3836" s="27"/>
    </row>
    <row r="3837" spans="1:18">
      <c r="A3837" s="28"/>
      <c r="B3837" s="29"/>
      <c r="C3837" s="29"/>
      <c r="D3837" s="29"/>
      <c r="E3837" s="29"/>
      <c r="H3837" s="27"/>
      <c r="K3837"/>
      <c r="P3837" s="27"/>
      <c r="Q3837" s="27"/>
      <c r="R3837" s="27"/>
    </row>
    <row r="3838" spans="1:18">
      <c r="A3838" s="28"/>
      <c r="B3838" s="29"/>
      <c r="C3838" s="29"/>
      <c r="D3838" s="29"/>
      <c r="E3838" s="29"/>
      <c r="H3838" s="27"/>
      <c r="K3838"/>
      <c r="P3838" s="27"/>
      <c r="Q3838" s="27"/>
      <c r="R3838" s="27"/>
    </row>
    <row r="3839" spans="1:18">
      <c r="A3839" s="28"/>
      <c r="B3839" s="29"/>
      <c r="C3839" s="29"/>
      <c r="D3839" s="29"/>
      <c r="E3839" s="29"/>
      <c r="H3839" s="27"/>
      <c r="K3839"/>
      <c r="P3839" s="27"/>
      <c r="Q3839" s="27"/>
      <c r="R3839" s="27"/>
    </row>
    <row r="3840" spans="1:18">
      <c r="A3840" s="28"/>
      <c r="B3840" s="29"/>
      <c r="C3840" s="29"/>
      <c r="D3840" s="29"/>
      <c r="E3840" s="29"/>
      <c r="H3840" s="27"/>
      <c r="K3840"/>
      <c r="P3840" s="27"/>
      <c r="Q3840" s="27"/>
      <c r="R3840" s="27"/>
    </row>
    <row r="3841" spans="1:18">
      <c r="A3841" s="28"/>
      <c r="B3841" s="29"/>
      <c r="C3841" s="29"/>
      <c r="D3841" s="29"/>
      <c r="E3841" s="29"/>
      <c r="H3841" s="27"/>
      <c r="K3841"/>
      <c r="P3841" s="27"/>
      <c r="Q3841" s="27"/>
      <c r="R3841" s="27"/>
    </row>
    <row r="3842" spans="1:18">
      <c r="A3842" s="28"/>
      <c r="B3842" s="29"/>
      <c r="C3842" s="29"/>
      <c r="D3842" s="29"/>
      <c r="E3842" s="29"/>
      <c r="H3842" s="27"/>
      <c r="K3842"/>
      <c r="P3842" s="27"/>
      <c r="Q3842" s="27"/>
      <c r="R3842" s="27"/>
    </row>
    <row r="3843" spans="1:18">
      <c r="A3843" s="28"/>
      <c r="B3843" s="29"/>
      <c r="C3843" s="29"/>
      <c r="D3843" s="29"/>
      <c r="E3843" s="29"/>
      <c r="H3843" s="27"/>
      <c r="K3843"/>
      <c r="P3843" s="27"/>
      <c r="Q3843" s="27"/>
      <c r="R3843" s="27"/>
    </row>
    <row r="3844" spans="1:18">
      <c r="A3844" s="28"/>
      <c r="B3844" s="29"/>
      <c r="C3844" s="29"/>
      <c r="D3844" s="29"/>
      <c r="E3844" s="29"/>
      <c r="H3844" s="27"/>
      <c r="K3844"/>
      <c r="P3844" s="27"/>
      <c r="Q3844" s="27"/>
      <c r="R3844" s="27"/>
    </row>
    <row r="3845" spans="1:18">
      <c r="A3845" s="28"/>
      <c r="B3845" s="29"/>
      <c r="C3845" s="29"/>
      <c r="D3845" s="29"/>
      <c r="E3845" s="29"/>
      <c r="H3845" s="27"/>
      <c r="K3845"/>
      <c r="P3845" s="27"/>
      <c r="Q3845" s="27"/>
      <c r="R3845" s="27"/>
    </row>
    <row r="3846" spans="1:18">
      <c r="A3846" s="28"/>
      <c r="B3846" s="29"/>
      <c r="C3846" s="29"/>
      <c r="D3846" s="29"/>
      <c r="E3846" s="29"/>
      <c r="H3846" s="27"/>
      <c r="K3846"/>
      <c r="P3846" s="27"/>
      <c r="Q3846" s="27"/>
      <c r="R3846" s="27"/>
    </row>
    <row r="3847" spans="1:18">
      <c r="A3847" s="28"/>
      <c r="B3847" s="29"/>
      <c r="C3847" s="29"/>
      <c r="D3847" s="29"/>
      <c r="E3847" s="29"/>
      <c r="H3847" s="27"/>
      <c r="K3847"/>
      <c r="P3847" s="27"/>
      <c r="Q3847" s="27"/>
      <c r="R3847" s="27"/>
    </row>
    <row r="3848" spans="1:18">
      <c r="A3848" s="28"/>
      <c r="B3848" s="29"/>
      <c r="C3848" s="29"/>
      <c r="D3848" s="29"/>
      <c r="E3848" s="29"/>
      <c r="H3848" s="27"/>
      <c r="K3848"/>
      <c r="P3848" s="27"/>
      <c r="Q3848" s="27"/>
      <c r="R3848" s="27"/>
    </row>
    <row r="3849" spans="1:18">
      <c r="A3849" s="28"/>
      <c r="B3849" s="29"/>
      <c r="C3849" s="29"/>
      <c r="D3849" s="29"/>
      <c r="E3849" s="29"/>
      <c r="H3849" s="27"/>
      <c r="K3849"/>
      <c r="P3849" s="27"/>
      <c r="Q3849" s="27"/>
      <c r="R3849" s="27"/>
    </row>
    <row r="3850" spans="1:18">
      <c r="A3850" s="28"/>
      <c r="B3850" s="29"/>
      <c r="C3850" s="29"/>
      <c r="D3850" s="29"/>
      <c r="E3850" s="29"/>
      <c r="H3850" s="27"/>
      <c r="K3850"/>
      <c r="P3850" s="27"/>
      <c r="Q3850" s="27"/>
      <c r="R3850" s="27"/>
    </row>
    <row r="3851" spans="1:18">
      <c r="A3851" s="28"/>
      <c r="B3851" s="29"/>
      <c r="C3851" s="29"/>
      <c r="D3851" s="29"/>
      <c r="E3851" s="29"/>
      <c r="H3851" s="27"/>
      <c r="K3851"/>
      <c r="P3851" s="27"/>
      <c r="Q3851" s="27"/>
      <c r="R3851" s="27"/>
    </row>
    <row r="3852" spans="1:18">
      <c r="A3852" s="28"/>
      <c r="B3852" s="29"/>
      <c r="C3852" s="29"/>
      <c r="D3852" s="29"/>
      <c r="E3852" s="29"/>
      <c r="H3852" s="27"/>
      <c r="K3852"/>
      <c r="P3852" s="27"/>
      <c r="Q3852" s="27"/>
      <c r="R3852" s="27"/>
    </row>
    <row r="3853" spans="1:18">
      <c r="A3853" s="28"/>
      <c r="B3853" s="29"/>
      <c r="C3853" s="29"/>
      <c r="D3853" s="29"/>
      <c r="E3853" s="29"/>
      <c r="H3853" s="27"/>
      <c r="K3853"/>
      <c r="P3853" s="27"/>
      <c r="Q3853" s="27"/>
      <c r="R3853" s="27"/>
    </row>
    <row r="3854" spans="1:18">
      <c r="A3854" s="28"/>
      <c r="B3854" s="29"/>
      <c r="C3854" s="29"/>
      <c r="D3854" s="29"/>
      <c r="E3854" s="29"/>
      <c r="H3854" s="27"/>
      <c r="K3854"/>
      <c r="P3854" s="27"/>
      <c r="Q3854" s="27"/>
      <c r="R3854" s="27"/>
    </row>
    <row r="3855" spans="1:18">
      <c r="A3855" s="28"/>
      <c r="B3855" s="29"/>
      <c r="C3855" s="29"/>
      <c r="D3855" s="29"/>
      <c r="E3855" s="29"/>
      <c r="H3855" s="27"/>
      <c r="K3855"/>
      <c r="P3855" s="27"/>
      <c r="Q3855" s="27"/>
      <c r="R3855" s="27"/>
    </row>
    <row r="3856" spans="1:18">
      <c r="A3856" s="28"/>
      <c r="B3856" s="29"/>
      <c r="C3856" s="29"/>
      <c r="D3856" s="29"/>
      <c r="E3856" s="29"/>
      <c r="H3856" s="27"/>
      <c r="K3856"/>
      <c r="P3856" s="27"/>
      <c r="Q3856" s="27"/>
      <c r="R3856" s="27"/>
    </row>
    <row r="3857" spans="1:18">
      <c r="A3857" s="28"/>
      <c r="B3857" s="29"/>
      <c r="C3857" s="29"/>
      <c r="D3857" s="29"/>
      <c r="E3857" s="29"/>
      <c r="H3857" s="27"/>
      <c r="K3857"/>
      <c r="P3857" s="27"/>
      <c r="Q3857" s="27"/>
      <c r="R3857" s="27"/>
    </row>
    <row r="3858" spans="1:18">
      <c r="A3858" s="28"/>
      <c r="B3858" s="29"/>
      <c r="C3858" s="29"/>
      <c r="D3858" s="29"/>
      <c r="E3858" s="29"/>
      <c r="H3858" s="27"/>
      <c r="K3858"/>
      <c r="P3858" s="27"/>
      <c r="Q3858" s="27"/>
      <c r="R3858" s="27"/>
    </row>
    <row r="3859" spans="1:18">
      <c r="A3859" s="28"/>
      <c r="B3859" s="29"/>
      <c r="C3859" s="29"/>
      <c r="D3859" s="29"/>
      <c r="E3859" s="29"/>
      <c r="H3859" s="27"/>
      <c r="K3859"/>
      <c r="P3859" s="27"/>
      <c r="Q3859" s="27"/>
      <c r="R3859" s="27"/>
    </row>
    <row r="3860" spans="1:18">
      <c r="A3860" s="28"/>
      <c r="B3860" s="29"/>
      <c r="C3860" s="29"/>
      <c r="D3860" s="29"/>
      <c r="E3860" s="29"/>
      <c r="H3860" s="27"/>
      <c r="K3860"/>
      <c r="P3860" s="27"/>
      <c r="Q3860" s="27"/>
      <c r="R3860" s="27"/>
    </row>
    <row r="3861" spans="1:18">
      <c r="A3861" s="28"/>
      <c r="B3861" s="29"/>
      <c r="C3861" s="29"/>
      <c r="D3861" s="29"/>
      <c r="E3861" s="29"/>
      <c r="H3861" s="27"/>
      <c r="K3861"/>
      <c r="P3861" s="27"/>
      <c r="Q3861" s="27"/>
      <c r="R3861" s="27"/>
    </row>
    <row r="3862" spans="1:18">
      <c r="A3862" s="28"/>
      <c r="B3862" s="29"/>
      <c r="C3862" s="29"/>
      <c r="D3862" s="29"/>
      <c r="E3862" s="29"/>
      <c r="H3862" s="27"/>
      <c r="K3862"/>
      <c r="P3862" s="27"/>
      <c r="Q3862" s="27"/>
      <c r="R3862" s="27"/>
    </row>
    <row r="3863" spans="1:18">
      <c r="A3863" s="28"/>
      <c r="B3863" s="29"/>
      <c r="C3863" s="29"/>
      <c r="D3863" s="29"/>
      <c r="E3863" s="29"/>
      <c r="H3863" s="27"/>
      <c r="K3863"/>
      <c r="P3863" s="27"/>
      <c r="Q3863" s="27"/>
      <c r="R3863" s="27"/>
    </row>
    <row r="3864" spans="1:18">
      <c r="A3864" s="28"/>
      <c r="B3864" s="29"/>
      <c r="C3864" s="29"/>
      <c r="D3864" s="29"/>
      <c r="E3864" s="29"/>
      <c r="H3864" s="27"/>
      <c r="K3864"/>
      <c r="P3864" s="27"/>
      <c r="Q3864" s="27"/>
      <c r="R3864" s="27"/>
    </row>
    <row r="3865" spans="1:18">
      <c r="A3865" s="28"/>
      <c r="B3865" s="29"/>
      <c r="C3865" s="29"/>
      <c r="D3865" s="29"/>
      <c r="E3865" s="29"/>
      <c r="H3865" s="27"/>
      <c r="K3865"/>
      <c r="P3865" s="27"/>
      <c r="Q3865" s="27"/>
      <c r="R3865" s="27"/>
    </row>
    <row r="3866" spans="1:18">
      <c r="A3866" s="28"/>
      <c r="B3866" s="29"/>
      <c r="C3866" s="29"/>
      <c r="D3866" s="29"/>
      <c r="E3866" s="29"/>
      <c r="H3866" s="27"/>
      <c r="K3866"/>
      <c r="P3866" s="27"/>
      <c r="Q3866" s="27"/>
      <c r="R3866" s="27"/>
    </row>
    <row r="3867" spans="1:18">
      <c r="A3867" s="28"/>
      <c r="B3867" s="29"/>
      <c r="C3867" s="29"/>
      <c r="D3867" s="29"/>
      <c r="E3867" s="29"/>
      <c r="H3867" s="27"/>
      <c r="K3867"/>
      <c r="P3867" s="27"/>
      <c r="Q3867" s="27"/>
      <c r="R3867" s="27"/>
    </row>
    <row r="3868" spans="1:18">
      <c r="A3868" s="28"/>
      <c r="B3868" s="29"/>
      <c r="C3868" s="29"/>
      <c r="D3868" s="29"/>
      <c r="E3868" s="29"/>
      <c r="H3868" s="27"/>
      <c r="K3868"/>
      <c r="P3868" s="27"/>
      <c r="Q3868" s="27"/>
      <c r="R3868" s="27"/>
    </row>
    <row r="3869" spans="1:18">
      <c r="A3869" s="28"/>
      <c r="B3869" s="29"/>
      <c r="C3869" s="29"/>
      <c r="D3869" s="29"/>
      <c r="E3869" s="29"/>
      <c r="H3869" s="27"/>
      <c r="K3869"/>
      <c r="P3869" s="27"/>
      <c r="Q3869" s="27"/>
      <c r="R3869" s="27"/>
    </row>
    <row r="3870" spans="1:18">
      <c r="A3870" s="28"/>
      <c r="B3870" s="29"/>
      <c r="C3870" s="29"/>
      <c r="D3870" s="29"/>
      <c r="E3870" s="29"/>
      <c r="H3870" s="27"/>
      <c r="K3870"/>
      <c r="P3870" s="27"/>
      <c r="Q3870" s="27"/>
      <c r="R3870" s="27"/>
    </row>
    <row r="3871" spans="1:18">
      <c r="A3871" s="28"/>
      <c r="B3871" s="29"/>
      <c r="C3871" s="29"/>
      <c r="D3871" s="29"/>
      <c r="E3871" s="29"/>
      <c r="H3871" s="27"/>
      <c r="K3871"/>
      <c r="P3871" s="27"/>
      <c r="Q3871" s="27"/>
      <c r="R3871" s="27"/>
    </row>
    <row r="3872" spans="1:18">
      <c r="A3872" s="28"/>
      <c r="B3872" s="29"/>
      <c r="C3872" s="29"/>
      <c r="D3872" s="29"/>
      <c r="E3872" s="29"/>
      <c r="H3872" s="27"/>
      <c r="K3872"/>
      <c r="P3872" s="27"/>
      <c r="Q3872" s="27"/>
      <c r="R3872" s="27"/>
    </row>
    <row r="3873" spans="1:18">
      <c r="A3873" s="28"/>
      <c r="B3873" s="29"/>
      <c r="C3873" s="29"/>
      <c r="D3873" s="29"/>
      <c r="E3873" s="29"/>
      <c r="H3873" s="27"/>
      <c r="K3873"/>
      <c r="P3873" s="27"/>
      <c r="Q3873" s="27"/>
      <c r="R3873" s="27"/>
    </row>
    <row r="3874" spans="1:18">
      <c r="A3874" s="28"/>
      <c r="B3874" s="29"/>
      <c r="C3874" s="29"/>
      <c r="D3874" s="29"/>
      <c r="E3874" s="29"/>
      <c r="H3874" s="27"/>
      <c r="K3874"/>
      <c r="P3874" s="27"/>
      <c r="Q3874" s="27"/>
      <c r="R3874" s="27"/>
    </row>
    <row r="3875" spans="1:18">
      <c r="A3875" s="28"/>
      <c r="B3875" s="29"/>
      <c r="C3875" s="29"/>
      <c r="D3875" s="29"/>
      <c r="E3875" s="29"/>
      <c r="H3875" s="27"/>
      <c r="K3875"/>
      <c r="P3875" s="27"/>
      <c r="Q3875" s="27"/>
      <c r="R3875" s="27"/>
    </row>
    <row r="3876" spans="1:18">
      <c r="A3876" s="28"/>
      <c r="B3876" s="29"/>
      <c r="C3876" s="29"/>
      <c r="D3876" s="29"/>
      <c r="E3876" s="29"/>
      <c r="H3876" s="27"/>
      <c r="K3876"/>
      <c r="P3876" s="27"/>
      <c r="Q3876" s="27"/>
      <c r="R3876" s="27"/>
    </row>
    <row r="3877" spans="1:18">
      <c r="A3877" s="28"/>
      <c r="B3877" s="29"/>
      <c r="C3877" s="29"/>
      <c r="D3877" s="29"/>
      <c r="E3877" s="29"/>
      <c r="H3877" s="27"/>
      <c r="K3877"/>
      <c r="P3877" s="27"/>
      <c r="Q3877" s="27"/>
      <c r="R3877" s="27"/>
    </row>
    <row r="3878" spans="1:18">
      <c r="A3878" s="28"/>
      <c r="B3878" s="29"/>
      <c r="C3878" s="29"/>
      <c r="D3878" s="29"/>
      <c r="E3878" s="29"/>
      <c r="H3878" s="27"/>
      <c r="K3878"/>
      <c r="P3878" s="27"/>
      <c r="Q3878" s="27"/>
      <c r="R3878" s="27"/>
    </row>
    <row r="3879" spans="1:18">
      <c r="A3879" s="28"/>
      <c r="B3879" s="29"/>
      <c r="C3879" s="29"/>
      <c r="D3879" s="29"/>
      <c r="E3879" s="29"/>
      <c r="H3879" s="27"/>
      <c r="K3879"/>
      <c r="P3879" s="27"/>
      <c r="Q3879" s="27"/>
      <c r="R3879" s="27"/>
    </row>
    <row r="3880" spans="1:18">
      <c r="A3880" s="28"/>
      <c r="B3880" s="29"/>
      <c r="C3880" s="29"/>
      <c r="D3880" s="29"/>
      <c r="E3880" s="29"/>
      <c r="H3880" s="27"/>
      <c r="K3880"/>
      <c r="P3880" s="27"/>
      <c r="Q3880" s="27"/>
      <c r="R3880" s="27"/>
    </row>
    <row r="3881" spans="1:18">
      <c r="A3881" s="28"/>
      <c r="B3881" s="29"/>
      <c r="C3881" s="29"/>
      <c r="D3881" s="29"/>
      <c r="E3881" s="29"/>
      <c r="H3881" s="27"/>
      <c r="K3881"/>
      <c r="P3881" s="27"/>
      <c r="Q3881" s="27"/>
      <c r="R3881" s="27"/>
    </row>
    <row r="3882" spans="1:18">
      <c r="A3882" s="28"/>
      <c r="B3882" s="29"/>
      <c r="C3882" s="29"/>
      <c r="D3882" s="29"/>
      <c r="E3882" s="29"/>
      <c r="H3882" s="27"/>
      <c r="K3882"/>
      <c r="P3882" s="27"/>
      <c r="Q3882" s="27"/>
      <c r="R3882" s="27"/>
    </row>
    <row r="3883" spans="1:18">
      <c r="A3883" s="28"/>
      <c r="B3883" s="29"/>
      <c r="C3883" s="29"/>
      <c r="D3883" s="29"/>
      <c r="E3883" s="29"/>
      <c r="H3883" s="27"/>
      <c r="K3883"/>
      <c r="P3883" s="27"/>
      <c r="Q3883" s="27"/>
      <c r="R3883" s="27"/>
    </row>
    <row r="3884" spans="1:18">
      <c r="A3884" s="28"/>
      <c r="B3884" s="29"/>
      <c r="C3884" s="29"/>
      <c r="D3884" s="29"/>
      <c r="E3884" s="29"/>
      <c r="H3884" s="27"/>
      <c r="K3884"/>
      <c r="P3884" s="27"/>
      <c r="Q3884" s="27"/>
      <c r="R3884" s="27"/>
    </row>
    <row r="3885" spans="1:18">
      <c r="A3885" s="28"/>
      <c r="B3885" s="29"/>
      <c r="C3885" s="29"/>
      <c r="D3885" s="29"/>
      <c r="E3885" s="29"/>
      <c r="H3885" s="27"/>
      <c r="K3885"/>
      <c r="P3885" s="27"/>
      <c r="Q3885" s="27"/>
      <c r="R3885" s="27"/>
    </row>
    <row r="3886" spans="1:18">
      <c r="A3886" s="28"/>
      <c r="B3886" s="29"/>
      <c r="C3886" s="29"/>
      <c r="D3886" s="29"/>
      <c r="E3886" s="29"/>
      <c r="H3886" s="27"/>
      <c r="K3886"/>
      <c r="P3886" s="27"/>
      <c r="Q3886" s="27"/>
      <c r="R3886" s="27"/>
    </row>
    <row r="3887" spans="1:18">
      <c r="A3887" s="28"/>
      <c r="B3887" s="29"/>
      <c r="C3887" s="29"/>
      <c r="D3887" s="29"/>
      <c r="E3887" s="29"/>
      <c r="H3887" s="27"/>
      <c r="K3887"/>
      <c r="P3887" s="27"/>
      <c r="Q3887" s="27"/>
      <c r="R3887" s="27"/>
    </row>
    <row r="3888" spans="1:18">
      <c r="A3888" s="28"/>
      <c r="B3888" s="29"/>
      <c r="C3888" s="29"/>
      <c r="D3888" s="29"/>
      <c r="E3888" s="29"/>
      <c r="H3888" s="27"/>
      <c r="K3888"/>
      <c r="P3888" s="27"/>
      <c r="Q3888" s="27"/>
      <c r="R3888" s="27"/>
    </row>
    <row r="3889" spans="1:18">
      <c r="A3889" s="28"/>
      <c r="B3889" s="29"/>
      <c r="C3889" s="29"/>
      <c r="D3889" s="29"/>
      <c r="E3889" s="29"/>
      <c r="H3889" s="27"/>
      <c r="K3889"/>
      <c r="P3889" s="27"/>
      <c r="Q3889" s="27"/>
      <c r="R3889" s="27"/>
    </row>
    <row r="3890" spans="1:18">
      <c r="A3890" s="28"/>
      <c r="B3890" s="29"/>
      <c r="C3890" s="29"/>
      <c r="D3890" s="29"/>
      <c r="E3890" s="29"/>
      <c r="H3890" s="27"/>
      <c r="K3890"/>
      <c r="P3890" s="27"/>
      <c r="Q3890" s="27"/>
      <c r="R3890" s="27"/>
    </row>
    <row r="3891" spans="1:18">
      <c r="A3891" s="28"/>
      <c r="B3891" s="29"/>
      <c r="C3891" s="29"/>
      <c r="D3891" s="29"/>
      <c r="E3891" s="29"/>
      <c r="H3891" s="27"/>
      <c r="K3891"/>
      <c r="P3891" s="27"/>
      <c r="Q3891" s="27"/>
      <c r="R3891" s="27"/>
    </row>
    <row r="3892" spans="1:18">
      <c r="A3892" s="28"/>
      <c r="B3892" s="29"/>
      <c r="C3892" s="29"/>
      <c r="D3892" s="29"/>
      <c r="E3892" s="29"/>
      <c r="H3892" s="27"/>
      <c r="K3892"/>
      <c r="P3892" s="27"/>
      <c r="Q3892" s="27"/>
      <c r="R3892" s="27"/>
    </row>
    <row r="3893" spans="1:18">
      <c r="A3893" s="28"/>
      <c r="B3893" s="29"/>
      <c r="C3893" s="29"/>
      <c r="D3893" s="29"/>
      <c r="E3893" s="29"/>
      <c r="H3893" s="27"/>
      <c r="K3893"/>
      <c r="P3893" s="27"/>
      <c r="Q3893" s="27"/>
      <c r="R3893" s="27"/>
    </row>
    <row r="3894" spans="1:18">
      <c r="A3894" s="28"/>
      <c r="B3894" s="29"/>
      <c r="C3894" s="29"/>
      <c r="D3894" s="29"/>
      <c r="E3894" s="29"/>
      <c r="H3894" s="27"/>
      <c r="K3894"/>
      <c r="P3894" s="27"/>
      <c r="Q3894" s="27"/>
      <c r="R3894" s="27"/>
    </row>
    <row r="3895" spans="1:18">
      <c r="A3895" s="28"/>
      <c r="B3895" s="29"/>
      <c r="C3895" s="29"/>
      <c r="D3895" s="29"/>
      <c r="E3895" s="29"/>
      <c r="H3895" s="27"/>
      <c r="K3895"/>
      <c r="P3895" s="27"/>
      <c r="Q3895" s="27"/>
      <c r="R3895" s="27"/>
    </row>
    <row r="3896" spans="1:18">
      <c r="A3896" s="28"/>
      <c r="B3896" s="29"/>
      <c r="C3896" s="29"/>
      <c r="D3896" s="29"/>
      <c r="E3896" s="29"/>
      <c r="H3896" s="27"/>
      <c r="K3896"/>
      <c r="P3896" s="27"/>
      <c r="Q3896" s="27"/>
      <c r="R3896" s="27"/>
    </row>
    <row r="3897" spans="1:18">
      <c r="A3897" s="28"/>
      <c r="B3897" s="29"/>
      <c r="C3897" s="29"/>
      <c r="D3897" s="29"/>
      <c r="E3897" s="29"/>
      <c r="H3897" s="27"/>
      <c r="K3897"/>
      <c r="P3897" s="27"/>
      <c r="Q3897" s="27"/>
      <c r="R3897" s="27"/>
    </row>
    <row r="3898" spans="1:18">
      <c r="A3898" s="28"/>
      <c r="B3898" s="29"/>
      <c r="C3898" s="29"/>
      <c r="D3898" s="29"/>
      <c r="E3898" s="29"/>
      <c r="H3898" s="27"/>
      <c r="K3898"/>
      <c r="P3898" s="27"/>
      <c r="Q3898" s="27"/>
      <c r="R3898" s="27"/>
    </row>
    <row r="3899" spans="1:18">
      <c r="A3899" s="28"/>
      <c r="B3899" s="29"/>
      <c r="C3899" s="29"/>
      <c r="D3899" s="29"/>
      <c r="E3899" s="29"/>
      <c r="H3899" s="27"/>
      <c r="K3899"/>
      <c r="P3899" s="27"/>
      <c r="Q3899" s="27"/>
      <c r="R3899" s="27"/>
    </row>
    <row r="3900" spans="1:18">
      <c r="A3900" s="28"/>
      <c r="B3900" s="29"/>
      <c r="C3900" s="29"/>
      <c r="D3900" s="29"/>
      <c r="E3900" s="29"/>
      <c r="H3900" s="27"/>
      <c r="K3900"/>
      <c r="P3900" s="27"/>
      <c r="Q3900" s="27"/>
      <c r="R3900" s="27"/>
    </row>
    <row r="3901" spans="1:18">
      <c r="A3901" s="28"/>
      <c r="B3901" s="29"/>
      <c r="C3901" s="29"/>
      <c r="D3901" s="29"/>
      <c r="E3901" s="29"/>
      <c r="H3901" s="27"/>
      <c r="K3901"/>
      <c r="P3901" s="27"/>
      <c r="Q3901" s="27"/>
      <c r="R3901" s="27"/>
    </row>
    <row r="3902" spans="1:18">
      <c r="A3902" s="28"/>
      <c r="B3902" s="29"/>
      <c r="C3902" s="29"/>
      <c r="D3902" s="29"/>
      <c r="E3902" s="29"/>
      <c r="H3902" s="27"/>
      <c r="K3902"/>
      <c r="P3902" s="27"/>
      <c r="Q3902" s="27"/>
      <c r="R3902" s="27"/>
    </row>
    <row r="3903" spans="1:18">
      <c r="A3903" s="28"/>
      <c r="B3903" s="29"/>
      <c r="C3903" s="29"/>
      <c r="D3903" s="29"/>
      <c r="E3903" s="29"/>
      <c r="H3903" s="27"/>
      <c r="K3903"/>
      <c r="P3903" s="27"/>
      <c r="Q3903" s="27"/>
      <c r="R3903" s="27"/>
    </row>
    <row r="3904" spans="1:18">
      <c r="A3904" s="28"/>
      <c r="B3904" s="29"/>
      <c r="C3904" s="29"/>
      <c r="D3904" s="29"/>
      <c r="E3904" s="29"/>
      <c r="H3904" s="27"/>
      <c r="K3904"/>
      <c r="P3904" s="27"/>
      <c r="Q3904" s="27"/>
      <c r="R3904" s="27"/>
    </row>
    <row r="3905" spans="1:18">
      <c r="A3905" s="28"/>
      <c r="B3905" s="29"/>
      <c r="C3905" s="29"/>
      <c r="D3905" s="29"/>
      <c r="E3905" s="29"/>
      <c r="H3905" s="27"/>
      <c r="K3905"/>
      <c r="P3905" s="27"/>
      <c r="Q3905" s="27"/>
      <c r="R3905" s="27"/>
    </row>
    <row r="3906" spans="1:18">
      <c r="A3906" s="28"/>
      <c r="B3906" s="29"/>
      <c r="C3906" s="29"/>
      <c r="D3906" s="29"/>
      <c r="E3906" s="29"/>
      <c r="H3906" s="27"/>
      <c r="K3906"/>
      <c r="P3906" s="27"/>
      <c r="Q3906" s="27"/>
      <c r="R3906" s="27"/>
    </row>
    <row r="3907" spans="1:18">
      <c r="A3907" s="28"/>
      <c r="B3907" s="29"/>
      <c r="C3907" s="29"/>
      <c r="D3907" s="29"/>
      <c r="E3907" s="29"/>
      <c r="H3907" s="27"/>
      <c r="K3907"/>
      <c r="P3907" s="27"/>
      <c r="Q3907" s="27"/>
      <c r="R3907" s="27"/>
    </row>
    <row r="3908" spans="1:18">
      <c r="A3908" s="28"/>
      <c r="B3908" s="29"/>
      <c r="C3908" s="29"/>
      <c r="D3908" s="29"/>
      <c r="E3908" s="29"/>
      <c r="H3908" s="27"/>
      <c r="K3908"/>
      <c r="P3908" s="27"/>
      <c r="Q3908" s="27"/>
      <c r="R3908" s="27"/>
    </row>
    <row r="3909" spans="1:18">
      <c r="A3909" s="28"/>
      <c r="B3909" s="29"/>
      <c r="C3909" s="29"/>
      <c r="D3909" s="29"/>
      <c r="E3909" s="29"/>
      <c r="H3909" s="27"/>
      <c r="K3909"/>
      <c r="P3909" s="27"/>
      <c r="Q3909" s="27"/>
      <c r="R3909" s="27"/>
    </row>
    <row r="3910" spans="1:18">
      <c r="A3910" s="28"/>
      <c r="B3910" s="29"/>
      <c r="C3910" s="29"/>
      <c r="D3910" s="29"/>
      <c r="E3910" s="29"/>
      <c r="H3910" s="27"/>
      <c r="K3910"/>
      <c r="P3910" s="27"/>
      <c r="Q3910" s="27"/>
      <c r="R3910" s="27"/>
    </row>
    <row r="3911" spans="1:18">
      <c r="A3911" s="28"/>
      <c r="B3911" s="29"/>
      <c r="C3911" s="29"/>
      <c r="D3911" s="29"/>
      <c r="E3911" s="29"/>
      <c r="H3911" s="27"/>
      <c r="K3911"/>
      <c r="P3911" s="27"/>
      <c r="Q3911" s="27"/>
      <c r="R3911" s="27"/>
    </row>
    <row r="3912" spans="1:18">
      <c r="A3912" s="28"/>
      <c r="B3912" s="29"/>
      <c r="C3912" s="29"/>
      <c r="D3912" s="29"/>
      <c r="E3912" s="29"/>
      <c r="H3912" s="27"/>
      <c r="K3912"/>
      <c r="P3912" s="27"/>
      <c r="Q3912" s="27"/>
      <c r="R3912" s="27"/>
    </row>
    <row r="3913" spans="1:18">
      <c r="A3913" s="28"/>
      <c r="B3913" s="29"/>
      <c r="C3913" s="29"/>
      <c r="D3913" s="29"/>
      <c r="E3913" s="29"/>
      <c r="H3913" s="27"/>
      <c r="K3913"/>
      <c r="P3913" s="27"/>
      <c r="Q3913" s="27"/>
      <c r="R3913" s="27"/>
    </row>
    <row r="3914" spans="1:18">
      <c r="A3914" s="28"/>
      <c r="B3914" s="29"/>
      <c r="C3914" s="29"/>
      <c r="D3914" s="29"/>
      <c r="E3914" s="29"/>
      <c r="H3914" s="27"/>
      <c r="K3914"/>
      <c r="P3914" s="27"/>
      <c r="Q3914" s="27"/>
      <c r="R3914" s="27"/>
    </row>
    <row r="3915" spans="1:18">
      <c r="A3915" s="28"/>
      <c r="B3915" s="29"/>
      <c r="C3915" s="29"/>
      <c r="D3915" s="29"/>
      <c r="E3915" s="29"/>
      <c r="H3915" s="27"/>
      <c r="K3915"/>
      <c r="P3915" s="27"/>
      <c r="Q3915" s="27"/>
      <c r="R3915" s="27"/>
    </row>
    <row r="3916" spans="1:18">
      <c r="A3916" s="28"/>
      <c r="B3916" s="29"/>
      <c r="C3916" s="29"/>
      <c r="D3916" s="29"/>
      <c r="E3916" s="29"/>
      <c r="H3916" s="27"/>
      <c r="K3916"/>
      <c r="P3916" s="27"/>
      <c r="Q3916" s="27"/>
      <c r="R3916" s="27"/>
    </row>
    <row r="3917" spans="1:18">
      <c r="A3917" s="28"/>
      <c r="B3917" s="29"/>
      <c r="C3917" s="29"/>
      <c r="D3917" s="29"/>
      <c r="E3917" s="29"/>
      <c r="H3917" s="27"/>
      <c r="K3917"/>
      <c r="P3917" s="27"/>
      <c r="Q3917" s="27"/>
      <c r="R3917" s="27"/>
    </row>
    <row r="3918" spans="1:18">
      <c r="A3918" s="28"/>
      <c r="B3918" s="29"/>
      <c r="C3918" s="29"/>
      <c r="D3918" s="29"/>
      <c r="E3918" s="29"/>
      <c r="H3918" s="27"/>
      <c r="K3918"/>
      <c r="P3918" s="27"/>
      <c r="Q3918" s="27"/>
      <c r="R3918" s="27"/>
    </row>
    <row r="3919" spans="1:18">
      <c r="A3919" s="28"/>
      <c r="B3919" s="29"/>
      <c r="C3919" s="29"/>
      <c r="D3919" s="29"/>
      <c r="E3919" s="29"/>
      <c r="H3919" s="27"/>
      <c r="K3919"/>
      <c r="P3919" s="27"/>
      <c r="Q3919" s="27"/>
      <c r="R3919" s="27"/>
    </row>
    <row r="3920" spans="1:18">
      <c r="A3920" s="28"/>
      <c r="B3920" s="29"/>
      <c r="C3920" s="29"/>
      <c r="D3920" s="29"/>
      <c r="E3920" s="29"/>
      <c r="H3920" s="27"/>
      <c r="K3920"/>
      <c r="P3920" s="27"/>
      <c r="Q3920" s="27"/>
      <c r="R3920" s="27"/>
    </row>
    <row r="3921" spans="1:18">
      <c r="A3921" s="28"/>
      <c r="B3921" s="29"/>
      <c r="C3921" s="29"/>
      <c r="D3921" s="29"/>
      <c r="E3921" s="29"/>
      <c r="H3921" s="27"/>
      <c r="K3921"/>
      <c r="P3921" s="27"/>
      <c r="Q3921" s="27"/>
      <c r="R3921" s="27"/>
    </row>
    <row r="3922" spans="1:18">
      <c r="A3922" s="28"/>
      <c r="B3922" s="29"/>
      <c r="C3922" s="29"/>
      <c r="D3922" s="29"/>
      <c r="E3922" s="29"/>
      <c r="H3922" s="27"/>
      <c r="K3922"/>
      <c r="P3922" s="27"/>
      <c r="Q3922" s="27"/>
      <c r="R3922" s="27"/>
    </row>
    <row r="3923" spans="1:18">
      <c r="A3923" s="28"/>
      <c r="B3923" s="29"/>
      <c r="C3923" s="29"/>
      <c r="D3923" s="29"/>
      <c r="E3923" s="29"/>
      <c r="H3923" s="27"/>
      <c r="K3923"/>
      <c r="P3923" s="27"/>
      <c r="Q3923" s="27"/>
      <c r="R3923" s="27"/>
    </row>
    <row r="3924" spans="1:18">
      <c r="A3924" s="28"/>
      <c r="B3924" s="29"/>
      <c r="C3924" s="29"/>
      <c r="D3924" s="29"/>
      <c r="E3924" s="29"/>
      <c r="H3924" s="27"/>
      <c r="K3924"/>
      <c r="P3924" s="27"/>
      <c r="Q3924" s="27"/>
      <c r="R3924" s="27"/>
    </row>
    <row r="3925" spans="1:18">
      <c r="A3925" s="28"/>
      <c r="B3925" s="29"/>
      <c r="C3925" s="29"/>
      <c r="D3925" s="29"/>
      <c r="E3925" s="29"/>
      <c r="H3925" s="27"/>
      <c r="K3925"/>
      <c r="P3925" s="27"/>
      <c r="Q3925" s="27"/>
      <c r="R3925" s="27"/>
    </row>
    <row r="3926" spans="1:18">
      <c r="A3926" s="28"/>
      <c r="B3926" s="29"/>
      <c r="C3926" s="29"/>
      <c r="D3926" s="29"/>
      <c r="E3926" s="29"/>
      <c r="H3926" s="27"/>
      <c r="K3926"/>
      <c r="P3926" s="27"/>
      <c r="Q3926" s="27"/>
      <c r="R3926" s="27"/>
    </row>
    <row r="3927" spans="1:18">
      <c r="A3927" s="28"/>
      <c r="B3927" s="29"/>
      <c r="C3927" s="29"/>
      <c r="D3927" s="29"/>
      <c r="E3927" s="29"/>
      <c r="H3927" s="27"/>
      <c r="K3927"/>
      <c r="P3927" s="27"/>
      <c r="Q3927" s="27"/>
      <c r="R3927" s="27"/>
    </row>
    <row r="3928" spans="1:18">
      <c r="A3928" s="28"/>
      <c r="B3928" s="29"/>
      <c r="C3928" s="29"/>
      <c r="D3928" s="29"/>
      <c r="E3928" s="29"/>
      <c r="H3928" s="27"/>
      <c r="K3928"/>
      <c r="P3928" s="27"/>
      <c r="Q3928" s="27"/>
      <c r="R3928" s="27"/>
    </row>
    <row r="3929" spans="1:18">
      <c r="A3929" s="28"/>
      <c r="B3929" s="29"/>
      <c r="C3929" s="29"/>
      <c r="D3929" s="29"/>
      <c r="E3929" s="29"/>
      <c r="H3929" s="27"/>
      <c r="K3929"/>
      <c r="P3929" s="27"/>
      <c r="Q3929" s="27"/>
      <c r="R3929" s="27"/>
    </row>
    <row r="3930" spans="1:18">
      <c r="A3930" s="28"/>
      <c r="B3930" s="29"/>
      <c r="C3930" s="29"/>
      <c r="D3930" s="29"/>
      <c r="E3930" s="29"/>
      <c r="H3930" s="27"/>
      <c r="K3930"/>
      <c r="P3930" s="27"/>
      <c r="Q3930" s="27"/>
      <c r="R3930" s="27"/>
    </row>
    <row r="3931" spans="1:18">
      <c r="A3931" s="28"/>
      <c r="B3931" s="29"/>
      <c r="C3931" s="29"/>
      <c r="D3931" s="29"/>
      <c r="E3931" s="29"/>
      <c r="H3931" s="27"/>
      <c r="K3931"/>
      <c r="P3931" s="27"/>
      <c r="Q3931" s="27"/>
      <c r="R3931" s="27"/>
    </row>
    <row r="3932" spans="1:18">
      <c r="A3932" s="28"/>
      <c r="B3932" s="29"/>
      <c r="C3932" s="29"/>
      <c r="D3932" s="29"/>
      <c r="E3932" s="29"/>
      <c r="H3932" s="27"/>
      <c r="K3932"/>
      <c r="P3932" s="27"/>
      <c r="Q3932" s="27"/>
      <c r="R3932" s="27"/>
    </row>
    <row r="3933" spans="1:18">
      <c r="A3933" s="28"/>
      <c r="B3933" s="29"/>
      <c r="C3933" s="29"/>
      <c r="D3933" s="29"/>
      <c r="E3933" s="29"/>
      <c r="H3933" s="27"/>
      <c r="K3933"/>
      <c r="P3933" s="27"/>
      <c r="Q3933" s="27"/>
      <c r="R3933" s="27"/>
    </row>
    <row r="3934" spans="1:18">
      <c r="A3934" s="28"/>
      <c r="B3934" s="29"/>
      <c r="C3934" s="29"/>
      <c r="D3934" s="29"/>
      <c r="E3934" s="29"/>
      <c r="H3934" s="27"/>
      <c r="K3934"/>
      <c r="P3934" s="27"/>
      <c r="Q3934" s="27"/>
      <c r="R3934" s="27"/>
    </row>
    <row r="3935" spans="1:18">
      <c r="A3935" s="28"/>
      <c r="B3935" s="29"/>
      <c r="C3935" s="29"/>
      <c r="D3935" s="29"/>
      <c r="E3935" s="29"/>
      <c r="H3935" s="27"/>
      <c r="K3935"/>
      <c r="P3935" s="27"/>
      <c r="Q3935" s="27"/>
      <c r="R3935" s="27"/>
    </row>
    <row r="3936" spans="1:18">
      <c r="A3936" s="28"/>
      <c r="B3936" s="29"/>
      <c r="C3936" s="29"/>
      <c r="D3936" s="29"/>
      <c r="E3936" s="29"/>
      <c r="H3936" s="27"/>
      <c r="K3936"/>
      <c r="P3936" s="27"/>
      <c r="Q3936" s="27"/>
      <c r="R3936" s="27"/>
    </row>
    <row r="3937" spans="1:18">
      <c r="A3937" s="28"/>
      <c r="B3937" s="29"/>
      <c r="C3937" s="29"/>
      <c r="D3937" s="29"/>
      <c r="E3937" s="29"/>
      <c r="H3937" s="27"/>
      <c r="K3937"/>
      <c r="P3937" s="27"/>
      <c r="Q3937" s="27"/>
      <c r="R3937" s="27"/>
    </row>
    <row r="3938" spans="1:18">
      <c r="A3938" s="28"/>
      <c r="B3938" s="29"/>
      <c r="C3938" s="29"/>
      <c r="D3938" s="29"/>
      <c r="E3938" s="29"/>
      <c r="H3938" s="27"/>
      <c r="K3938"/>
      <c r="P3938" s="27"/>
      <c r="Q3938" s="27"/>
      <c r="R3938" s="27"/>
    </row>
    <row r="3939" spans="1:18">
      <c r="A3939" s="28"/>
      <c r="B3939" s="29"/>
      <c r="C3939" s="29"/>
      <c r="D3939" s="29"/>
      <c r="E3939" s="29"/>
      <c r="H3939" s="27"/>
      <c r="K3939"/>
      <c r="P3939" s="27"/>
      <c r="Q3939" s="27"/>
      <c r="R3939" s="27"/>
    </row>
    <row r="3940" spans="1:18">
      <c r="A3940" s="28"/>
      <c r="B3940" s="29"/>
      <c r="C3940" s="29"/>
      <c r="D3940" s="29"/>
      <c r="E3940" s="29"/>
      <c r="H3940" s="27"/>
      <c r="K3940"/>
      <c r="P3940" s="27"/>
      <c r="Q3940" s="27"/>
      <c r="R3940" s="27"/>
    </row>
    <row r="3941" spans="1:18">
      <c r="A3941" s="28"/>
      <c r="B3941" s="29"/>
      <c r="C3941" s="29"/>
      <c r="D3941" s="29"/>
      <c r="E3941" s="29"/>
      <c r="H3941" s="27"/>
      <c r="K3941"/>
      <c r="P3941" s="27"/>
      <c r="Q3941" s="27"/>
      <c r="R3941" s="27"/>
    </row>
    <row r="3942" spans="1:18">
      <c r="A3942" s="28"/>
      <c r="B3942" s="29"/>
      <c r="C3942" s="29"/>
      <c r="D3942" s="29"/>
      <c r="E3942" s="29"/>
      <c r="H3942" s="27"/>
      <c r="K3942"/>
      <c r="P3942" s="27"/>
      <c r="Q3942" s="27"/>
      <c r="R3942" s="27"/>
    </row>
    <row r="3943" spans="1:18">
      <c r="A3943" s="28"/>
      <c r="B3943" s="29"/>
      <c r="C3943" s="29"/>
      <c r="D3943" s="29"/>
      <c r="E3943" s="29"/>
      <c r="H3943" s="27"/>
      <c r="K3943"/>
      <c r="P3943" s="27"/>
      <c r="Q3943" s="27"/>
      <c r="R3943" s="27"/>
    </row>
    <row r="3944" spans="1:18">
      <c r="A3944" s="28"/>
      <c r="B3944" s="29"/>
      <c r="C3944" s="29"/>
      <c r="D3944" s="29"/>
      <c r="E3944" s="29"/>
      <c r="H3944" s="27"/>
      <c r="K3944"/>
      <c r="P3944" s="27"/>
      <c r="Q3944" s="27"/>
      <c r="R3944" s="27"/>
    </row>
    <row r="3945" spans="1:18">
      <c r="A3945" s="28"/>
      <c r="B3945" s="29"/>
      <c r="C3945" s="29"/>
      <c r="D3945" s="29"/>
      <c r="E3945" s="29"/>
      <c r="H3945" s="27"/>
      <c r="K3945"/>
      <c r="P3945" s="27"/>
      <c r="Q3945" s="27"/>
      <c r="R3945" s="27"/>
    </row>
    <row r="3946" spans="1:18">
      <c r="A3946" s="28"/>
      <c r="B3946" s="29"/>
      <c r="C3946" s="29"/>
      <c r="D3946" s="29"/>
      <c r="E3946" s="29"/>
      <c r="H3946" s="27"/>
      <c r="K3946"/>
      <c r="P3946" s="27"/>
      <c r="Q3946" s="27"/>
      <c r="R3946" s="27"/>
    </row>
    <row r="3947" spans="1:18">
      <c r="A3947" s="28"/>
      <c r="B3947" s="29"/>
      <c r="C3947" s="29"/>
      <c r="D3947" s="29"/>
      <c r="E3947" s="29"/>
      <c r="H3947" s="27"/>
      <c r="K3947"/>
      <c r="P3947" s="27"/>
      <c r="Q3947" s="27"/>
      <c r="R3947" s="27"/>
    </row>
    <row r="3948" spans="1:18">
      <c r="A3948" s="28"/>
      <c r="B3948" s="29"/>
      <c r="C3948" s="29"/>
      <c r="D3948" s="29"/>
      <c r="E3948" s="29"/>
      <c r="H3948" s="27"/>
      <c r="K3948"/>
      <c r="P3948" s="27"/>
      <c r="Q3948" s="27"/>
      <c r="R3948" s="27"/>
    </row>
    <row r="3949" spans="1:18">
      <c r="A3949" s="28"/>
      <c r="B3949" s="29"/>
      <c r="C3949" s="29"/>
      <c r="D3949" s="29"/>
      <c r="E3949" s="29"/>
      <c r="H3949" s="27"/>
      <c r="K3949"/>
      <c r="P3949" s="27"/>
      <c r="Q3949" s="27"/>
      <c r="R3949" s="27"/>
    </row>
    <row r="3950" spans="1:18">
      <c r="A3950" s="28"/>
      <c r="B3950" s="29"/>
      <c r="C3950" s="29"/>
      <c r="D3950" s="29"/>
      <c r="E3950" s="29"/>
      <c r="H3950" s="27"/>
      <c r="K3950"/>
      <c r="P3950" s="27"/>
      <c r="Q3950" s="27"/>
      <c r="R3950" s="27"/>
    </row>
    <row r="3951" spans="1:18">
      <c r="A3951" s="28"/>
      <c r="B3951" s="29"/>
      <c r="C3951" s="29"/>
      <c r="D3951" s="29"/>
      <c r="E3951" s="29"/>
      <c r="H3951" s="27"/>
      <c r="K3951"/>
      <c r="P3951" s="27"/>
      <c r="Q3951" s="27"/>
      <c r="R3951" s="27"/>
    </row>
    <row r="3952" spans="1:18">
      <c r="A3952" s="28"/>
      <c r="B3952" s="29"/>
      <c r="C3952" s="29"/>
      <c r="D3952" s="29"/>
      <c r="E3952" s="29"/>
      <c r="H3952" s="27"/>
      <c r="K3952"/>
      <c r="P3952" s="27"/>
      <c r="Q3952" s="27"/>
      <c r="R3952" s="27"/>
    </row>
    <row r="3953" spans="1:18">
      <c r="A3953" s="28"/>
      <c r="B3953" s="29"/>
      <c r="C3953" s="29"/>
      <c r="D3953" s="29"/>
      <c r="E3953" s="29"/>
      <c r="H3953" s="27"/>
      <c r="K3953"/>
      <c r="P3953" s="27"/>
      <c r="Q3953" s="27"/>
      <c r="R3953" s="27"/>
    </row>
    <row r="3954" spans="1:18">
      <c r="A3954" s="28"/>
      <c r="B3954" s="29"/>
      <c r="C3954" s="29"/>
      <c r="D3954" s="29"/>
      <c r="E3954" s="29"/>
      <c r="H3954" s="27"/>
      <c r="K3954"/>
      <c r="P3954" s="27"/>
      <c r="Q3954" s="27"/>
      <c r="R3954" s="27"/>
    </row>
    <row r="3955" spans="1:18">
      <c r="A3955" s="28"/>
      <c r="B3955" s="29"/>
      <c r="C3955" s="29"/>
      <c r="D3955" s="29"/>
      <c r="E3955" s="29"/>
      <c r="H3955" s="27"/>
      <c r="K3955"/>
      <c r="P3955" s="27"/>
      <c r="Q3955" s="27"/>
      <c r="R3955" s="27"/>
    </row>
    <row r="3956" spans="1:18">
      <c r="A3956" s="28"/>
      <c r="B3956" s="29"/>
      <c r="C3956" s="29"/>
      <c r="D3956" s="29"/>
      <c r="E3956" s="29"/>
      <c r="H3956" s="27"/>
      <c r="K3956"/>
      <c r="P3956" s="27"/>
      <c r="Q3956" s="27"/>
      <c r="R3956" s="27"/>
    </row>
    <row r="3957" spans="1:18">
      <c r="A3957" s="28"/>
      <c r="B3957" s="29"/>
      <c r="C3957" s="29"/>
      <c r="D3957" s="29"/>
      <c r="E3957" s="29"/>
      <c r="H3957" s="27"/>
      <c r="K3957"/>
      <c r="P3957" s="27"/>
      <c r="Q3957" s="27"/>
      <c r="R3957" s="27"/>
    </row>
    <row r="3958" spans="1:18">
      <c r="A3958" s="28"/>
      <c r="B3958" s="29"/>
      <c r="C3958" s="29"/>
      <c r="D3958" s="29"/>
      <c r="E3958" s="29"/>
      <c r="H3958" s="27"/>
      <c r="K3958"/>
      <c r="P3958" s="27"/>
      <c r="Q3958" s="27"/>
      <c r="R3958" s="27"/>
    </row>
    <row r="3959" spans="1:18">
      <c r="A3959" s="28"/>
      <c r="B3959" s="29"/>
      <c r="C3959" s="29"/>
      <c r="D3959" s="29"/>
      <c r="E3959" s="29"/>
      <c r="H3959" s="27"/>
      <c r="K3959"/>
      <c r="P3959" s="27"/>
      <c r="Q3959" s="27"/>
      <c r="R3959" s="27"/>
    </row>
    <row r="3960" spans="1:18">
      <c r="A3960" s="28"/>
      <c r="B3960" s="29"/>
      <c r="C3960" s="29"/>
      <c r="D3960" s="29"/>
      <c r="E3960" s="29"/>
      <c r="H3960" s="27"/>
      <c r="K3960"/>
      <c r="P3960" s="27"/>
      <c r="Q3960" s="27"/>
      <c r="R3960" s="27"/>
    </row>
    <row r="3961" spans="1:18">
      <c r="A3961" s="28"/>
      <c r="B3961" s="29"/>
      <c r="C3961" s="29"/>
      <c r="D3961" s="29"/>
      <c r="E3961" s="29"/>
      <c r="H3961" s="27"/>
      <c r="K3961"/>
      <c r="P3961" s="27"/>
      <c r="Q3961" s="27"/>
      <c r="R3961" s="27"/>
    </row>
    <row r="3962" spans="1:18">
      <c r="A3962" s="28"/>
      <c r="B3962" s="29"/>
      <c r="C3962" s="29"/>
      <c r="D3962" s="29"/>
      <c r="E3962" s="29"/>
      <c r="H3962" s="27"/>
      <c r="K3962"/>
      <c r="P3962" s="27"/>
      <c r="Q3962" s="27"/>
      <c r="R3962" s="27"/>
    </row>
    <row r="3963" spans="1:18">
      <c r="A3963" s="28"/>
      <c r="B3963" s="29"/>
      <c r="C3963" s="29"/>
      <c r="D3963" s="29"/>
      <c r="E3963" s="29"/>
      <c r="H3963" s="27"/>
      <c r="K3963"/>
      <c r="P3963" s="27"/>
      <c r="Q3963" s="27"/>
      <c r="R3963" s="27"/>
    </row>
    <row r="3964" spans="1:18">
      <c r="A3964" s="28"/>
      <c r="B3964" s="29"/>
      <c r="C3964" s="29"/>
      <c r="D3964" s="29"/>
      <c r="E3964" s="29"/>
      <c r="H3964" s="27"/>
      <c r="K3964"/>
      <c r="P3964" s="27"/>
      <c r="Q3964" s="27"/>
      <c r="R3964" s="27"/>
    </row>
    <row r="3965" spans="1:18">
      <c r="A3965" s="28"/>
      <c r="B3965" s="29"/>
      <c r="C3965" s="29"/>
      <c r="D3965" s="29"/>
      <c r="E3965" s="29"/>
      <c r="H3965" s="27"/>
      <c r="K3965"/>
      <c r="P3965" s="27"/>
      <c r="Q3965" s="27"/>
      <c r="R3965" s="27"/>
    </row>
    <row r="3966" spans="1:18">
      <c r="A3966" s="28"/>
      <c r="B3966" s="29"/>
      <c r="C3966" s="29"/>
      <c r="D3966" s="29"/>
      <c r="E3966" s="29"/>
      <c r="H3966" s="27"/>
      <c r="K3966"/>
      <c r="P3966" s="27"/>
      <c r="Q3966" s="27"/>
      <c r="R3966" s="27"/>
    </row>
    <row r="3967" spans="1:18">
      <c r="A3967" s="28"/>
      <c r="B3967" s="29"/>
      <c r="C3967" s="29"/>
      <c r="D3967" s="29"/>
      <c r="E3967" s="29"/>
      <c r="H3967" s="27"/>
      <c r="K3967"/>
      <c r="P3967" s="27"/>
      <c r="Q3967" s="27"/>
      <c r="R3967" s="27"/>
    </row>
    <row r="3968" spans="1:18">
      <c r="A3968" s="28"/>
      <c r="B3968" s="29"/>
      <c r="C3968" s="29"/>
      <c r="D3968" s="29"/>
      <c r="E3968" s="29"/>
      <c r="H3968" s="27"/>
      <c r="K3968"/>
      <c r="P3968" s="27"/>
      <c r="Q3968" s="27"/>
      <c r="R3968" s="27"/>
    </row>
    <row r="3969" spans="1:18">
      <c r="A3969" s="28"/>
      <c r="B3969" s="29"/>
      <c r="C3969" s="29"/>
      <c r="D3969" s="29"/>
      <c r="E3969" s="29"/>
      <c r="H3969" s="27"/>
      <c r="K3969"/>
      <c r="P3969" s="27"/>
      <c r="Q3969" s="27"/>
      <c r="R3969" s="27"/>
    </row>
    <row r="3970" spans="1:18">
      <c r="A3970" s="28"/>
      <c r="B3970" s="29"/>
      <c r="C3970" s="29"/>
      <c r="D3970" s="29"/>
      <c r="E3970" s="29"/>
      <c r="H3970" s="27"/>
      <c r="K3970"/>
      <c r="P3970" s="27"/>
      <c r="Q3970" s="27"/>
      <c r="R3970" s="27"/>
    </row>
    <row r="3971" spans="1:18">
      <c r="A3971" s="28"/>
      <c r="B3971" s="29"/>
      <c r="C3971" s="29"/>
      <c r="D3971" s="29"/>
      <c r="E3971" s="29"/>
      <c r="H3971" s="27"/>
      <c r="K3971"/>
      <c r="P3971" s="27"/>
      <c r="Q3971" s="27"/>
      <c r="R3971" s="27"/>
    </row>
    <row r="3972" spans="1:18">
      <c r="A3972" s="28"/>
      <c r="B3972" s="29"/>
      <c r="C3972" s="29"/>
      <c r="D3972" s="29"/>
      <c r="E3972" s="29"/>
      <c r="H3972" s="27"/>
      <c r="K3972"/>
      <c r="P3972" s="27"/>
      <c r="Q3972" s="27"/>
      <c r="R3972" s="27"/>
    </row>
    <row r="3973" spans="1:18">
      <c r="A3973" s="28"/>
      <c r="B3973" s="29"/>
      <c r="C3973" s="29"/>
      <c r="D3973" s="29"/>
      <c r="E3973" s="29"/>
      <c r="H3973" s="27"/>
      <c r="K3973"/>
      <c r="P3973" s="27"/>
      <c r="Q3973" s="27"/>
      <c r="R3973" s="27"/>
    </row>
    <row r="3974" spans="1:18">
      <c r="A3974" s="28"/>
      <c r="B3974" s="29"/>
      <c r="C3974" s="29"/>
      <c r="D3974" s="29"/>
      <c r="E3974" s="29"/>
      <c r="H3974" s="27"/>
      <c r="K3974"/>
      <c r="P3974" s="27"/>
      <c r="Q3974" s="27"/>
      <c r="R3974" s="27"/>
    </row>
    <row r="3975" spans="1:18">
      <c r="A3975" s="28"/>
      <c r="B3975" s="29"/>
      <c r="C3975" s="29"/>
      <c r="D3975" s="29"/>
      <c r="E3975" s="29"/>
      <c r="H3975" s="27"/>
      <c r="K3975"/>
      <c r="P3975" s="27"/>
      <c r="Q3975" s="27"/>
      <c r="R3975" s="27"/>
    </row>
    <row r="3976" spans="1:18">
      <c r="A3976" s="28"/>
      <c r="B3976" s="29"/>
      <c r="C3976" s="29"/>
      <c r="D3976" s="29"/>
      <c r="E3976" s="29"/>
      <c r="H3976" s="27"/>
      <c r="K3976"/>
      <c r="P3976" s="27"/>
      <c r="Q3976" s="27"/>
      <c r="R3976" s="27"/>
    </row>
    <row r="3977" spans="1:18">
      <c r="A3977" s="28"/>
      <c r="B3977" s="29"/>
      <c r="C3977" s="29"/>
      <c r="D3977" s="29"/>
      <c r="E3977" s="29"/>
      <c r="H3977" s="27"/>
      <c r="K3977"/>
      <c r="P3977" s="27"/>
      <c r="Q3977" s="27"/>
      <c r="R3977" s="27"/>
    </row>
    <row r="3978" spans="1:18">
      <c r="A3978" s="28"/>
      <c r="B3978" s="29"/>
      <c r="C3978" s="29"/>
      <c r="D3978" s="29"/>
      <c r="E3978" s="29"/>
      <c r="H3978" s="27"/>
      <c r="K3978"/>
      <c r="P3978" s="27"/>
      <c r="Q3978" s="27"/>
      <c r="R3978" s="27"/>
    </row>
    <row r="3979" spans="1:18">
      <c r="A3979" s="28"/>
      <c r="B3979" s="29"/>
      <c r="C3979" s="29"/>
      <c r="D3979" s="29"/>
      <c r="E3979" s="29"/>
      <c r="H3979" s="27"/>
      <c r="K3979"/>
      <c r="P3979" s="27"/>
      <c r="Q3979" s="27"/>
      <c r="R3979" s="27"/>
    </row>
    <row r="3980" spans="1:18">
      <c r="A3980" s="28"/>
      <c r="B3980" s="29"/>
      <c r="C3980" s="29"/>
      <c r="D3980" s="29"/>
      <c r="E3980" s="29"/>
      <c r="H3980" s="27"/>
      <c r="K3980"/>
      <c r="P3980" s="27"/>
      <c r="Q3980" s="27"/>
      <c r="R3980" s="27"/>
    </row>
    <row r="3981" spans="1:18">
      <c r="A3981" s="28"/>
      <c r="B3981" s="29"/>
      <c r="C3981" s="29"/>
      <c r="D3981" s="29"/>
      <c r="E3981" s="29"/>
      <c r="H3981" s="27"/>
      <c r="K3981"/>
      <c r="P3981" s="27"/>
      <c r="Q3981" s="27"/>
      <c r="R3981" s="27"/>
    </row>
    <row r="3982" spans="1:18">
      <c r="A3982" s="28"/>
      <c r="B3982" s="29"/>
      <c r="C3982" s="29"/>
      <c r="D3982" s="29"/>
      <c r="E3982" s="29"/>
      <c r="H3982" s="27"/>
      <c r="K3982"/>
      <c r="P3982" s="27"/>
      <c r="Q3982" s="27"/>
      <c r="R3982" s="27"/>
    </row>
    <row r="3983" spans="1:18">
      <c r="A3983" s="28"/>
      <c r="B3983" s="29"/>
      <c r="C3983" s="29"/>
      <c r="D3983" s="29"/>
      <c r="E3983" s="29"/>
      <c r="H3983" s="27"/>
      <c r="K3983"/>
      <c r="P3983" s="27"/>
      <c r="Q3983" s="27"/>
      <c r="R3983" s="27"/>
    </row>
    <row r="3984" spans="1:18">
      <c r="A3984" s="28"/>
      <c r="B3984" s="29"/>
      <c r="C3984" s="29"/>
      <c r="D3984" s="29"/>
      <c r="E3984" s="29"/>
      <c r="H3984" s="27"/>
      <c r="K3984"/>
      <c r="P3984" s="27"/>
      <c r="Q3984" s="27"/>
      <c r="R3984" s="27"/>
    </row>
    <row r="3985" spans="1:18">
      <c r="A3985" s="28"/>
      <c r="B3985" s="29"/>
      <c r="C3985" s="29"/>
      <c r="D3985" s="29"/>
      <c r="E3985" s="29"/>
      <c r="H3985" s="27"/>
      <c r="K3985"/>
      <c r="P3985" s="27"/>
      <c r="Q3985" s="27"/>
      <c r="R3985" s="27"/>
    </row>
    <row r="3986" spans="1:18">
      <c r="A3986" s="28"/>
      <c r="B3986" s="29"/>
      <c r="C3986" s="29"/>
      <c r="D3986" s="29"/>
      <c r="E3986" s="29"/>
      <c r="H3986" s="27"/>
      <c r="K3986"/>
      <c r="P3986" s="27"/>
      <c r="Q3986" s="27"/>
      <c r="R3986" s="27"/>
    </row>
    <row r="3987" spans="1:18">
      <c r="A3987" s="28"/>
      <c r="B3987" s="29"/>
      <c r="C3987" s="29"/>
      <c r="D3987" s="29"/>
      <c r="E3987" s="29"/>
      <c r="H3987" s="27"/>
      <c r="K3987"/>
      <c r="P3987" s="27"/>
      <c r="Q3987" s="27"/>
      <c r="R3987" s="27"/>
    </row>
    <row r="3988" spans="1:18">
      <c r="A3988" s="28"/>
      <c r="B3988" s="29"/>
      <c r="C3988" s="29"/>
      <c r="D3988" s="29"/>
      <c r="E3988" s="29"/>
      <c r="H3988" s="27"/>
      <c r="K3988"/>
      <c r="P3988" s="27"/>
      <c r="Q3988" s="27"/>
      <c r="R3988" s="27"/>
    </row>
    <row r="3989" spans="1:18">
      <c r="A3989" s="28"/>
      <c r="B3989" s="29"/>
      <c r="C3989" s="29"/>
      <c r="D3989" s="29"/>
      <c r="E3989" s="29"/>
      <c r="H3989" s="27"/>
      <c r="K3989"/>
      <c r="P3989" s="27"/>
      <c r="Q3989" s="27"/>
      <c r="R3989" s="27"/>
    </row>
    <row r="3990" spans="1:18">
      <c r="A3990" s="28"/>
      <c r="B3990" s="29"/>
      <c r="C3990" s="29"/>
      <c r="D3990" s="29"/>
      <c r="E3990" s="29"/>
      <c r="H3990" s="27"/>
      <c r="K3990"/>
      <c r="P3990" s="27"/>
      <c r="Q3990" s="27"/>
      <c r="R3990" s="27"/>
    </row>
    <row r="3991" spans="1:18">
      <c r="A3991" s="28"/>
      <c r="B3991" s="29"/>
      <c r="C3991" s="29"/>
      <c r="D3991" s="29"/>
      <c r="E3991" s="29"/>
      <c r="H3991" s="27"/>
      <c r="K3991"/>
      <c r="P3991" s="27"/>
      <c r="Q3991" s="27"/>
      <c r="R3991" s="27"/>
    </row>
    <row r="3992" spans="1:18">
      <c r="A3992" s="28"/>
      <c r="B3992" s="29"/>
      <c r="C3992" s="29"/>
      <c r="D3992" s="29"/>
      <c r="E3992" s="29"/>
      <c r="H3992" s="27"/>
      <c r="K3992"/>
      <c r="P3992" s="27"/>
      <c r="Q3992" s="27"/>
      <c r="R3992" s="27"/>
    </row>
    <row r="3993" spans="1:18">
      <c r="A3993" s="28"/>
      <c r="B3993" s="29"/>
      <c r="C3993" s="29"/>
      <c r="D3993" s="29"/>
      <c r="E3993" s="29"/>
      <c r="H3993" s="27"/>
      <c r="K3993"/>
      <c r="P3993" s="27"/>
      <c r="Q3993" s="27"/>
      <c r="R3993" s="27"/>
    </row>
    <row r="3994" spans="1:18">
      <c r="A3994" s="28"/>
      <c r="B3994" s="29"/>
      <c r="C3994" s="29"/>
      <c r="D3994" s="29"/>
      <c r="E3994" s="29"/>
      <c r="H3994" s="27"/>
      <c r="K3994"/>
      <c r="P3994" s="27"/>
      <c r="Q3994" s="27"/>
      <c r="R3994" s="27"/>
    </row>
    <row r="3995" spans="1:18">
      <c r="A3995" s="28"/>
      <c r="B3995" s="29"/>
      <c r="C3995" s="29"/>
      <c r="D3995" s="29"/>
      <c r="E3995" s="29"/>
      <c r="H3995" s="27"/>
      <c r="K3995"/>
      <c r="P3995" s="27"/>
      <c r="Q3995" s="27"/>
      <c r="R3995" s="27"/>
    </row>
    <row r="3996" spans="1:18">
      <c r="A3996" s="28"/>
      <c r="B3996" s="29"/>
      <c r="C3996" s="29"/>
      <c r="D3996" s="29"/>
      <c r="E3996" s="29"/>
      <c r="H3996" s="27"/>
      <c r="K3996"/>
      <c r="P3996" s="27"/>
      <c r="Q3996" s="27"/>
      <c r="R3996" s="27"/>
    </row>
    <row r="3997" spans="1:18">
      <c r="A3997" s="28"/>
      <c r="B3997" s="29"/>
      <c r="C3997" s="29"/>
      <c r="D3997" s="29"/>
      <c r="E3997" s="29"/>
      <c r="H3997" s="27"/>
      <c r="K3997"/>
      <c r="P3997" s="27"/>
      <c r="Q3997" s="27"/>
      <c r="R3997" s="27"/>
    </row>
    <row r="3998" spans="1:18">
      <c r="A3998" s="28"/>
      <c r="B3998" s="29"/>
      <c r="C3998" s="29"/>
      <c r="D3998" s="29"/>
      <c r="E3998" s="29"/>
      <c r="H3998" s="27"/>
      <c r="K3998"/>
      <c r="P3998" s="27"/>
      <c r="Q3998" s="27"/>
      <c r="R3998" s="27"/>
    </row>
    <row r="3999" spans="1:18">
      <c r="A3999" s="28"/>
      <c r="B3999" s="29"/>
      <c r="C3999" s="29"/>
      <c r="D3999" s="29"/>
      <c r="E3999" s="29"/>
      <c r="H3999" s="27"/>
      <c r="K3999"/>
      <c r="P3999" s="27"/>
      <c r="Q3999" s="27"/>
      <c r="R3999" s="27"/>
    </row>
    <row r="4000" spans="1:18">
      <c r="A4000" s="28"/>
      <c r="B4000" s="29"/>
      <c r="C4000" s="29"/>
      <c r="D4000" s="29"/>
      <c r="E4000" s="29"/>
      <c r="H4000" s="27"/>
      <c r="K4000"/>
      <c r="P4000" s="27"/>
      <c r="Q4000" s="27"/>
      <c r="R4000" s="27"/>
    </row>
    <row r="4001" spans="1:18">
      <c r="A4001" s="28"/>
      <c r="B4001" s="29"/>
      <c r="C4001" s="29"/>
      <c r="D4001" s="29"/>
      <c r="E4001" s="29"/>
      <c r="H4001" s="27"/>
      <c r="K4001"/>
      <c r="P4001" s="27"/>
      <c r="Q4001" s="27"/>
      <c r="R4001" s="27"/>
    </row>
    <row r="4002" spans="1:18">
      <c r="A4002" s="28"/>
      <c r="B4002" s="29"/>
      <c r="C4002" s="29"/>
      <c r="D4002" s="29"/>
      <c r="E4002" s="29"/>
      <c r="H4002" s="27"/>
      <c r="K4002"/>
      <c r="P4002" s="27"/>
      <c r="Q4002" s="27"/>
      <c r="R4002" s="27"/>
    </row>
    <row r="4003" spans="1:18">
      <c r="A4003" s="28"/>
      <c r="B4003" s="29"/>
      <c r="C4003" s="29"/>
      <c r="D4003" s="29"/>
      <c r="E4003" s="29"/>
      <c r="H4003" s="27"/>
      <c r="K4003"/>
      <c r="P4003" s="27"/>
      <c r="Q4003" s="27"/>
      <c r="R4003" s="27"/>
    </row>
    <row r="4004" spans="1:18">
      <c r="A4004" s="28"/>
      <c r="B4004" s="29"/>
      <c r="C4004" s="29"/>
      <c r="D4004" s="29"/>
      <c r="E4004" s="29"/>
      <c r="H4004" s="27"/>
      <c r="K4004"/>
      <c r="P4004" s="27"/>
      <c r="Q4004" s="27"/>
      <c r="R4004" s="27"/>
    </row>
    <row r="4005" spans="1:18">
      <c r="A4005" s="28"/>
      <c r="B4005" s="29"/>
      <c r="C4005" s="29"/>
      <c r="D4005" s="29"/>
      <c r="E4005" s="29"/>
      <c r="H4005" s="27"/>
      <c r="K4005"/>
      <c r="P4005" s="27"/>
      <c r="Q4005" s="27"/>
      <c r="R4005" s="27"/>
    </row>
    <row r="4006" spans="1:18">
      <c r="A4006" s="28"/>
      <c r="B4006" s="29"/>
      <c r="C4006" s="29"/>
      <c r="D4006" s="29"/>
      <c r="E4006" s="29"/>
      <c r="H4006" s="27"/>
      <c r="K4006"/>
      <c r="P4006" s="27"/>
      <c r="Q4006" s="27"/>
      <c r="R4006" s="27"/>
    </row>
    <row r="4007" spans="1:18">
      <c r="A4007" s="28"/>
      <c r="B4007" s="29"/>
      <c r="C4007" s="29"/>
      <c r="D4007" s="29"/>
      <c r="E4007" s="29"/>
      <c r="H4007" s="27"/>
      <c r="K4007"/>
      <c r="P4007" s="27"/>
      <c r="Q4007" s="27"/>
      <c r="R4007" s="27"/>
    </row>
    <row r="4008" spans="1:18">
      <c r="A4008" s="28"/>
      <c r="B4008" s="29"/>
      <c r="C4008" s="29"/>
      <c r="D4008" s="29"/>
      <c r="E4008" s="29"/>
      <c r="H4008" s="27"/>
      <c r="K4008"/>
      <c r="P4008" s="27"/>
      <c r="Q4008" s="27"/>
      <c r="R4008" s="27"/>
    </row>
    <row r="4009" spans="1:18">
      <c r="A4009" s="28"/>
      <c r="B4009" s="29"/>
      <c r="C4009" s="29"/>
      <c r="D4009" s="29"/>
      <c r="E4009" s="29"/>
      <c r="H4009" s="27"/>
      <c r="K4009"/>
      <c r="P4009" s="27"/>
      <c r="Q4009" s="27"/>
      <c r="R4009" s="27"/>
    </row>
    <row r="4010" spans="1:18">
      <c r="A4010" s="28"/>
      <c r="B4010" s="29"/>
      <c r="C4010" s="29"/>
      <c r="D4010" s="29"/>
      <c r="E4010" s="29"/>
      <c r="H4010" s="27"/>
      <c r="K4010"/>
      <c r="P4010" s="27"/>
      <c r="Q4010" s="27"/>
      <c r="R4010" s="27"/>
    </row>
    <row r="4011" spans="1:18">
      <c r="A4011" s="28"/>
      <c r="B4011" s="29"/>
      <c r="C4011" s="29"/>
      <c r="D4011" s="29"/>
      <c r="E4011" s="29"/>
      <c r="H4011" s="27"/>
      <c r="K4011"/>
      <c r="P4011" s="27"/>
      <c r="Q4011" s="27"/>
      <c r="R4011" s="27"/>
    </row>
    <row r="4012" spans="1:18">
      <c r="A4012" s="28"/>
      <c r="B4012" s="29"/>
      <c r="C4012" s="29"/>
      <c r="D4012" s="29"/>
      <c r="E4012" s="29"/>
      <c r="H4012" s="27"/>
      <c r="K4012"/>
      <c r="P4012" s="27"/>
      <c r="Q4012" s="27"/>
      <c r="R4012" s="27"/>
    </row>
    <row r="4013" spans="1:18">
      <c r="A4013" s="28"/>
      <c r="B4013" s="29"/>
      <c r="C4013" s="29"/>
      <c r="D4013" s="29"/>
      <c r="E4013" s="29"/>
      <c r="H4013" s="27"/>
      <c r="K4013"/>
      <c r="P4013" s="27"/>
      <c r="Q4013" s="27"/>
      <c r="R4013" s="27"/>
    </row>
    <row r="4014" spans="1:18">
      <c r="A4014" s="28"/>
      <c r="B4014" s="29"/>
      <c r="C4014" s="29"/>
      <c r="D4014" s="29"/>
      <c r="E4014" s="29"/>
      <c r="H4014" s="27"/>
      <c r="K4014"/>
      <c r="P4014" s="27"/>
      <c r="Q4014" s="27"/>
      <c r="R4014" s="27"/>
    </row>
    <row r="4015" spans="1:18">
      <c r="A4015" s="28"/>
      <c r="B4015" s="29"/>
      <c r="C4015" s="29"/>
      <c r="D4015" s="29"/>
      <c r="E4015" s="29"/>
      <c r="H4015" s="27"/>
      <c r="K4015"/>
      <c r="P4015" s="27"/>
      <c r="Q4015" s="27"/>
      <c r="R4015" s="27"/>
    </row>
    <row r="4016" spans="1:18">
      <c r="A4016" s="28"/>
      <c r="B4016" s="29"/>
      <c r="C4016" s="29"/>
      <c r="D4016" s="29"/>
      <c r="E4016" s="29"/>
      <c r="H4016" s="27"/>
      <c r="K4016"/>
      <c r="P4016" s="27"/>
      <c r="Q4016" s="27"/>
      <c r="R4016" s="27"/>
    </row>
    <row r="4017" spans="1:18">
      <c r="A4017" s="28"/>
      <c r="B4017" s="29"/>
      <c r="C4017" s="29"/>
      <c r="D4017" s="29"/>
      <c r="E4017" s="29"/>
      <c r="H4017" s="27"/>
      <c r="K4017"/>
      <c r="P4017" s="27"/>
      <c r="Q4017" s="27"/>
      <c r="R4017" s="27"/>
    </row>
    <row r="4018" spans="1:18">
      <c r="A4018" s="28"/>
      <c r="B4018" s="29"/>
      <c r="C4018" s="29"/>
      <c r="D4018" s="29"/>
      <c r="E4018" s="29"/>
      <c r="H4018" s="27"/>
      <c r="K4018"/>
      <c r="P4018" s="27"/>
      <c r="Q4018" s="27"/>
      <c r="R4018" s="27"/>
    </row>
    <row r="4019" spans="1:18">
      <c r="A4019" s="28"/>
      <c r="B4019" s="29"/>
      <c r="C4019" s="29"/>
      <c r="D4019" s="29"/>
      <c r="E4019" s="29"/>
      <c r="H4019" s="27"/>
      <c r="K4019"/>
      <c r="P4019" s="27"/>
      <c r="Q4019" s="27"/>
      <c r="R4019" s="27"/>
    </row>
    <row r="4020" spans="1:18">
      <c r="A4020" s="28"/>
      <c r="B4020" s="29"/>
      <c r="C4020" s="29"/>
      <c r="D4020" s="29"/>
      <c r="E4020" s="29"/>
      <c r="H4020" s="27"/>
      <c r="K4020"/>
      <c r="P4020" s="27"/>
      <c r="Q4020" s="27"/>
      <c r="R4020" s="27"/>
    </row>
    <row r="4021" spans="1:18">
      <c r="A4021" s="28"/>
      <c r="B4021" s="29"/>
      <c r="C4021" s="29"/>
      <c r="D4021" s="29"/>
      <c r="E4021" s="29"/>
      <c r="H4021" s="27"/>
      <c r="K4021"/>
      <c r="P4021" s="27"/>
      <c r="Q4021" s="27"/>
      <c r="R4021" s="27"/>
    </row>
    <row r="4022" spans="1:18">
      <c r="A4022" s="28"/>
      <c r="B4022" s="29"/>
      <c r="C4022" s="29"/>
      <c r="D4022" s="29"/>
      <c r="E4022" s="29"/>
      <c r="H4022" s="27"/>
      <c r="K4022"/>
      <c r="P4022" s="27"/>
      <c r="Q4022" s="27"/>
      <c r="R4022" s="27"/>
    </row>
    <row r="4023" spans="1:18">
      <c r="A4023" s="28"/>
      <c r="B4023" s="29"/>
      <c r="C4023" s="29"/>
      <c r="D4023" s="29"/>
      <c r="E4023" s="29"/>
      <c r="H4023" s="27"/>
      <c r="K4023"/>
      <c r="P4023" s="27"/>
      <c r="Q4023" s="27"/>
      <c r="R4023" s="27"/>
    </row>
    <row r="4024" spans="1:18">
      <c r="A4024" s="28"/>
      <c r="B4024" s="29"/>
      <c r="C4024" s="29"/>
      <c r="D4024" s="29"/>
      <c r="E4024" s="29"/>
      <c r="H4024" s="27"/>
      <c r="K4024"/>
      <c r="P4024" s="27"/>
      <c r="Q4024" s="27"/>
      <c r="R4024" s="27"/>
    </row>
    <row r="4025" spans="1:18">
      <c r="A4025" s="28"/>
      <c r="B4025" s="29"/>
      <c r="C4025" s="29"/>
      <c r="D4025" s="29"/>
      <c r="E4025" s="29"/>
      <c r="H4025" s="27"/>
      <c r="K4025"/>
      <c r="P4025" s="27"/>
      <c r="Q4025" s="27"/>
      <c r="R4025" s="27"/>
    </row>
    <row r="4026" spans="1:18">
      <c r="A4026" s="28"/>
      <c r="B4026" s="29"/>
      <c r="C4026" s="29"/>
      <c r="D4026" s="29"/>
      <c r="E4026" s="29"/>
      <c r="H4026" s="27"/>
      <c r="K4026"/>
      <c r="P4026" s="27"/>
      <c r="Q4026" s="27"/>
      <c r="R4026" s="27"/>
    </row>
    <row r="4027" spans="1:18">
      <c r="A4027" s="28"/>
      <c r="B4027" s="29"/>
      <c r="C4027" s="29"/>
      <c r="D4027" s="29"/>
      <c r="E4027" s="29"/>
      <c r="H4027" s="27"/>
      <c r="K4027"/>
      <c r="P4027" s="27"/>
      <c r="Q4027" s="27"/>
      <c r="R4027" s="27"/>
    </row>
    <row r="4028" spans="1:18">
      <c r="A4028" s="28"/>
      <c r="B4028" s="29"/>
      <c r="C4028" s="29"/>
      <c r="D4028" s="29"/>
      <c r="E4028" s="29"/>
      <c r="H4028" s="27"/>
      <c r="K4028"/>
      <c r="P4028" s="27"/>
      <c r="Q4028" s="27"/>
      <c r="R4028" s="27"/>
    </row>
    <row r="4029" spans="1:18">
      <c r="A4029" s="28"/>
      <c r="B4029" s="29"/>
      <c r="C4029" s="29"/>
      <c r="D4029" s="29"/>
      <c r="E4029" s="29"/>
      <c r="H4029" s="27"/>
      <c r="K4029"/>
      <c r="P4029" s="27"/>
      <c r="Q4029" s="27"/>
      <c r="R4029" s="27"/>
    </row>
    <row r="4030" spans="1:18">
      <c r="A4030" s="28"/>
      <c r="B4030" s="29"/>
      <c r="C4030" s="29"/>
      <c r="D4030" s="29"/>
      <c r="E4030" s="29"/>
      <c r="H4030" s="27"/>
      <c r="K4030"/>
      <c r="P4030" s="27"/>
      <c r="Q4030" s="27"/>
      <c r="R4030" s="27"/>
    </row>
    <row r="4031" spans="1:18">
      <c r="A4031" s="28"/>
      <c r="B4031" s="29"/>
      <c r="C4031" s="29"/>
      <c r="D4031" s="29"/>
      <c r="E4031" s="29"/>
      <c r="H4031" s="27"/>
      <c r="K4031"/>
      <c r="P4031" s="27"/>
      <c r="Q4031" s="27"/>
      <c r="R4031" s="27"/>
    </row>
    <row r="4032" spans="1:18">
      <c r="A4032" s="28"/>
      <c r="B4032" s="29"/>
      <c r="C4032" s="29"/>
      <c r="D4032" s="29"/>
      <c r="E4032" s="29"/>
      <c r="H4032" s="27"/>
      <c r="K4032"/>
      <c r="P4032" s="27"/>
      <c r="Q4032" s="27"/>
      <c r="R4032" s="27"/>
    </row>
    <row r="4033" spans="1:18">
      <c r="A4033" s="28"/>
      <c r="B4033" s="29"/>
      <c r="C4033" s="29"/>
      <c r="D4033" s="29"/>
      <c r="E4033" s="29"/>
      <c r="H4033" s="27"/>
      <c r="K4033"/>
      <c r="P4033" s="27"/>
      <c r="Q4033" s="27"/>
      <c r="R4033" s="27"/>
    </row>
    <row r="4034" spans="1:18">
      <c r="A4034" s="28"/>
      <c r="B4034" s="29"/>
      <c r="C4034" s="29"/>
      <c r="D4034" s="29"/>
      <c r="E4034" s="29"/>
      <c r="H4034" s="27"/>
      <c r="K4034"/>
      <c r="P4034" s="27"/>
      <c r="Q4034" s="27"/>
      <c r="R4034" s="27"/>
    </row>
    <row r="4035" spans="1:18">
      <c r="A4035" s="28"/>
      <c r="B4035" s="29"/>
      <c r="C4035" s="29"/>
      <c r="D4035" s="29"/>
      <c r="E4035" s="29"/>
      <c r="H4035" s="27"/>
      <c r="K4035"/>
      <c r="P4035" s="27"/>
      <c r="Q4035" s="27"/>
      <c r="R4035" s="27"/>
    </row>
    <row r="4036" spans="1:18">
      <c r="A4036" s="28"/>
      <c r="B4036" s="29"/>
      <c r="C4036" s="29"/>
      <c r="D4036" s="29"/>
      <c r="E4036" s="29"/>
      <c r="H4036" s="27"/>
      <c r="K4036"/>
      <c r="P4036" s="27"/>
      <c r="Q4036" s="27"/>
      <c r="R4036" s="27"/>
    </row>
    <row r="4037" spans="1:18">
      <c r="A4037" s="28"/>
      <c r="B4037" s="29"/>
      <c r="C4037" s="29"/>
      <c r="D4037" s="29"/>
      <c r="E4037" s="29"/>
      <c r="H4037" s="27"/>
      <c r="K4037"/>
      <c r="P4037" s="27"/>
      <c r="Q4037" s="27"/>
      <c r="R4037" s="27"/>
    </row>
    <row r="4038" spans="1:18">
      <c r="A4038" s="28"/>
      <c r="B4038" s="29"/>
      <c r="C4038" s="29"/>
      <c r="D4038" s="29"/>
      <c r="E4038" s="29"/>
      <c r="H4038" s="27"/>
      <c r="K4038"/>
      <c r="P4038" s="27"/>
      <c r="Q4038" s="27"/>
      <c r="R4038" s="27"/>
    </row>
    <row r="4039" spans="1:18">
      <c r="A4039" s="28"/>
      <c r="B4039" s="29"/>
      <c r="C4039" s="29"/>
      <c r="D4039" s="29"/>
      <c r="E4039" s="29"/>
      <c r="H4039" s="27"/>
      <c r="K4039"/>
      <c r="P4039" s="27"/>
      <c r="Q4039" s="27"/>
      <c r="R4039" s="27"/>
    </row>
    <row r="4040" spans="1:18">
      <c r="A4040" s="28"/>
      <c r="B4040" s="29"/>
      <c r="C4040" s="29"/>
      <c r="D4040" s="29"/>
      <c r="E4040" s="29"/>
      <c r="H4040" s="27"/>
      <c r="K4040"/>
      <c r="P4040" s="27"/>
      <c r="Q4040" s="27"/>
      <c r="R4040" s="27"/>
    </row>
    <row r="4041" spans="1:18">
      <c r="A4041" s="28"/>
      <c r="B4041" s="29"/>
      <c r="C4041" s="29"/>
      <c r="D4041" s="29"/>
      <c r="E4041" s="29"/>
      <c r="H4041" s="27"/>
      <c r="K4041"/>
      <c r="P4041" s="27"/>
      <c r="Q4041" s="27"/>
      <c r="R4041" s="27"/>
    </row>
    <row r="4042" spans="1:18">
      <c r="A4042" s="28"/>
      <c r="B4042" s="29"/>
      <c r="C4042" s="29"/>
      <c r="D4042" s="29"/>
      <c r="E4042" s="29"/>
      <c r="H4042" s="27"/>
      <c r="K4042"/>
      <c r="P4042" s="27"/>
      <c r="Q4042" s="27"/>
      <c r="R4042" s="27"/>
    </row>
    <row r="4043" spans="1:18">
      <c r="A4043" s="28"/>
      <c r="B4043" s="29"/>
      <c r="C4043" s="29"/>
      <c r="D4043" s="29"/>
      <c r="E4043" s="29"/>
      <c r="H4043" s="27"/>
      <c r="K4043"/>
      <c r="P4043" s="27"/>
      <c r="Q4043" s="27"/>
      <c r="R4043" s="27"/>
    </row>
    <row r="4044" spans="1:18">
      <c r="A4044" s="28"/>
      <c r="B4044" s="29"/>
      <c r="C4044" s="29"/>
      <c r="D4044" s="29"/>
      <c r="E4044" s="29"/>
      <c r="H4044" s="27"/>
      <c r="K4044"/>
      <c r="P4044" s="27"/>
      <c r="Q4044" s="27"/>
      <c r="R4044" s="27"/>
    </row>
    <row r="4045" spans="1:18">
      <c r="A4045" s="28"/>
      <c r="B4045" s="29"/>
      <c r="C4045" s="29"/>
      <c r="D4045" s="29"/>
      <c r="E4045" s="29"/>
      <c r="H4045" s="27"/>
      <c r="K4045"/>
      <c r="P4045" s="27"/>
      <c r="Q4045" s="27"/>
      <c r="R4045" s="27"/>
    </row>
    <row r="4046" spans="1:18">
      <c r="A4046" s="28"/>
      <c r="B4046" s="29"/>
      <c r="C4046" s="29"/>
      <c r="D4046" s="29"/>
      <c r="E4046" s="29"/>
      <c r="H4046" s="27"/>
      <c r="K4046"/>
      <c r="P4046" s="27"/>
      <c r="Q4046" s="27"/>
      <c r="R4046" s="27"/>
    </row>
    <row r="4047" spans="1:18">
      <c r="A4047" s="28"/>
      <c r="B4047" s="29"/>
      <c r="C4047" s="29"/>
      <c r="D4047" s="29"/>
      <c r="E4047" s="29"/>
      <c r="H4047" s="27"/>
      <c r="K4047"/>
      <c r="P4047" s="27"/>
      <c r="Q4047" s="27"/>
      <c r="R4047" s="27"/>
    </row>
    <row r="4048" spans="1:18">
      <c r="A4048" s="28"/>
      <c r="B4048" s="29"/>
      <c r="C4048" s="29"/>
      <c r="D4048" s="29"/>
      <c r="E4048" s="29"/>
      <c r="H4048" s="27"/>
      <c r="K4048"/>
      <c r="P4048" s="27"/>
      <c r="Q4048" s="27"/>
      <c r="R4048" s="27"/>
    </row>
    <row r="4049" spans="1:18">
      <c r="A4049" s="28"/>
      <c r="B4049" s="29"/>
      <c r="C4049" s="29"/>
      <c r="D4049" s="29"/>
      <c r="E4049" s="29"/>
      <c r="H4049" s="27"/>
      <c r="K4049"/>
      <c r="P4049" s="27"/>
      <c r="Q4049" s="27"/>
      <c r="R4049" s="27"/>
    </row>
    <row r="4050" spans="1:18">
      <c r="A4050" s="28"/>
      <c r="B4050" s="29"/>
      <c r="C4050" s="29"/>
      <c r="D4050" s="29"/>
      <c r="E4050" s="29"/>
      <c r="H4050" s="27"/>
      <c r="K4050"/>
      <c r="P4050" s="27"/>
      <c r="Q4050" s="27"/>
      <c r="R4050" s="27"/>
    </row>
    <row r="4051" spans="1:18">
      <c r="A4051" s="28"/>
      <c r="B4051" s="29"/>
      <c r="C4051" s="29"/>
      <c r="D4051" s="29"/>
      <c r="E4051" s="29"/>
      <c r="H4051" s="27"/>
      <c r="K4051"/>
      <c r="P4051" s="27"/>
      <c r="Q4051" s="27"/>
      <c r="R4051" s="27"/>
    </row>
    <row r="4052" spans="1:18">
      <c r="A4052" s="28"/>
      <c r="B4052" s="29"/>
      <c r="C4052" s="29"/>
      <c r="D4052" s="29"/>
      <c r="E4052" s="29"/>
      <c r="H4052" s="27"/>
      <c r="K4052"/>
      <c r="P4052" s="27"/>
      <c r="Q4052" s="27"/>
      <c r="R4052" s="27"/>
    </row>
    <row r="4053" spans="1:18">
      <c r="A4053" s="28"/>
      <c r="B4053" s="29"/>
      <c r="C4053" s="29"/>
      <c r="D4053" s="29"/>
      <c r="E4053" s="29"/>
      <c r="H4053" s="27"/>
      <c r="K4053"/>
      <c r="P4053" s="27"/>
      <c r="Q4053" s="27"/>
      <c r="R4053" s="27"/>
    </row>
    <row r="4054" spans="1:18">
      <c r="A4054" s="28"/>
      <c r="B4054" s="29"/>
      <c r="C4054" s="29"/>
      <c r="D4054" s="29"/>
      <c r="E4054" s="29"/>
      <c r="H4054" s="27"/>
      <c r="K4054"/>
      <c r="P4054" s="27"/>
      <c r="Q4054" s="27"/>
      <c r="R4054" s="27"/>
    </row>
    <row r="4055" spans="1:18">
      <c r="A4055" s="28"/>
      <c r="B4055" s="29"/>
      <c r="C4055" s="29"/>
      <c r="D4055" s="29"/>
      <c r="E4055" s="29"/>
      <c r="H4055" s="27"/>
      <c r="K4055"/>
      <c r="P4055" s="27"/>
      <c r="Q4055" s="27"/>
      <c r="R4055" s="27"/>
    </row>
    <row r="4056" spans="1:18">
      <c r="A4056" s="28"/>
      <c r="B4056" s="29"/>
      <c r="C4056" s="29"/>
      <c r="D4056" s="29"/>
      <c r="E4056" s="29"/>
      <c r="H4056" s="27"/>
      <c r="K4056"/>
      <c r="P4056" s="27"/>
      <c r="Q4056" s="27"/>
      <c r="R4056" s="27"/>
    </row>
    <row r="4057" spans="1:18">
      <c r="A4057" s="28"/>
      <c r="B4057" s="29"/>
      <c r="C4057" s="29"/>
      <c r="D4057" s="29"/>
      <c r="E4057" s="29"/>
      <c r="H4057" s="27"/>
      <c r="K4057"/>
      <c r="P4057" s="27"/>
      <c r="Q4057" s="27"/>
      <c r="R4057" s="27"/>
    </row>
    <row r="4058" spans="1:18">
      <c r="A4058" s="28"/>
      <c r="B4058" s="29"/>
      <c r="C4058" s="29"/>
      <c r="D4058" s="29"/>
      <c r="E4058" s="29"/>
      <c r="H4058" s="27"/>
      <c r="K4058"/>
      <c r="P4058" s="27"/>
      <c r="Q4058" s="27"/>
      <c r="R4058" s="27"/>
    </row>
    <row r="4059" spans="1:18">
      <c r="A4059" s="28"/>
      <c r="B4059" s="29"/>
      <c r="C4059" s="29"/>
      <c r="D4059" s="29"/>
      <c r="E4059" s="29"/>
      <c r="H4059" s="27"/>
      <c r="K4059"/>
      <c r="P4059" s="27"/>
      <c r="Q4059" s="27"/>
      <c r="R4059" s="27"/>
    </row>
    <row r="4060" spans="1:18">
      <c r="A4060" s="28"/>
      <c r="B4060" s="29"/>
      <c r="C4060" s="29"/>
      <c r="D4060" s="29"/>
      <c r="E4060" s="29"/>
      <c r="H4060" s="27"/>
      <c r="K4060"/>
      <c r="P4060" s="27"/>
      <c r="Q4060" s="27"/>
      <c r="R4060" s="27"/>
    </row>
    <row r="4061" spans="1:18">
      <c r="A4061" s="28"/>
      <c r="B4061" s="29"/>
      <c r="C4061" s="29"/>
      <c r="D4061" s="29"/>
      <c r="E4061" s="29"/>
      <c r="H4061" s="27"/>
      <c r="K4061"/>
      <c r="P4061" s="27"/>
      <c r="Q4061" s="27"/>
      <c r="R4061" s="27"/>
    </row>
    <row r="4062" spans="1:18">
      <c r="A4062" s="28"/>
      <c r="B4062" s="29"/>
      <c r="C4062" s="29"/>
      <c r="D4062" s="29"/>
      <c r="E4062" s="29"/>
      <c r="H4062" s="27"/>
      <c r="K4062"/>
      <c r="P4062" s="27"/>
      <c r="Q4062" s="27"/>
      <c r="R4062" s="27"/>
    </row>
    <row r="4063" spans="1:18">
      <c r="A4063" s="28"/>
      <c r="B4063" s="29"/>
      <c r="C4063" s="29"/>
      <c r="D4063" s="29"/>
      <c r="E4063" s="29"/>
      <c r="H4063" s="27"/>
      <c r="K4063"/>
      <c r="P4063" s="27"/>
      <c r="Q4063" s="27"/>
      <c r="R4063" s="27"/>
    </row>
    <row r="4064" spans="1:18">
      <c r="A4064" s="28"/>
      <c r="B4064" s="29"/>
      <c r="C4064" s="29"/>
      <c r="D4064" s="29"/>
      <c r="E4064" s="29"/>
      <c r="H4064" s="27"/>
      <c r="K4064"/>
      <c r="P4064" s="27"/>
      <c r="Q4064" s="27"/>
      <c r="R4064" s="27"/>
    </row>
    <row r="4065" spans="1:18">
      <c r="A4065" s="28"/>
      <c r="B4065" s="29"/>
      <c r="C4065" s="29"/>
      <c r="D4065" s="29"/>
      <c r="E4065" s="29"/>
      <c r="H4065" s="27"/>
      <c r="K4065"/>
      <c r="P4065" s="27"/>
      <c r="Q4065" s="27"/>
      <c r="R4065" s="27"/>
    </row>
    <row r="4066" spans="1:18">
      <c r="A4066" s="28"/>
      <c r="B4066" s="29"/>
      <c r="C4066" s="29"/>
      <c r="D4066" s="29"/>
      <c r="E4066" s="29"/>
      <c r="H4066" s="27"/>
      <c r="K4066"/>
      <c r="P4066" s="27"/>
      <c r="Q4066" s="27"/>
      <c r="R4066" s="27"/>
    </row>
    <row r="4067" spans="1:18">
      <c r="A4067" s="28"/>
      <c r="B4067" s="29"/>
      <c r="C4067" s="29"/>
      <c r="D4067" s="29"/>
      <c r="E4067" s="29"/>
      <c r="H4067" s="27"/>
      <c r="K4067"/>
      <c r="P4067" s="27"/>
      <c r="Q4067" s="27"/>
      <c r="R4067" s="27"/>
    </row>
    <row r="4068" spans="1:18">
      <c r="A4068" s="28"/>
      <c r="B4068" s="29"/>
      <c r="C4068" s="29"/>
      <c r="D4068" s="29"/>
      <c r="E4068" s="29"/>
      <c r="H4068" s="27"/>
      <c r="K4068"/>
      <c r="P4068" s="27"/>
      <c r="Q4068" s="27"/>
      <c r="R4068" s="27"/>
    </row>
    <row r="4069" spans="1:18">
      <c r="A4069" s="28"/>
      <c r="B4069" s="29"/>
      <c r="C4069" s="29"/>
      <c r="D4069" s="29"/>
      <c r="E4069" s="29"/>
      <c r="H4069" s="27"/>
      <c r="K4069"/>
      <c r="P4069" s="27"/>
      <c r="Q4069" s="27"/>
      <c r="R4069" s="27"/>
    </row>
    <row r="4070" spans="1:18">
      <c r="A4070" s="28"/>
      <c r="B4070" s="29"/>
      <c r="C4070" s="29"/>
      <c r="D4070" s="29"/>
      <c r="E4070" s="29"/>
      <c r="H4070" s="27"/>
      <c r="K4070"/>
      <c r="P4070" s="27"/>
      <c r="Q4070" s="27"/>
      <c r="R4070" s="27"/>
    </row>
    <row r="4071" spans="1:18">
      <c r="A4071" s="28"/>
      <c r="B4071" s="29"/>
      <c r="C4071" s="29"/>
      <c r="D4071" s="29"/>
      <c r="E4071" s="29"/>
      <c r="H4071" s="27"/>
      <c r="K4071"/>
      <c r="P4071" s="27"/>
      <c r="Q4071" s="27"/>
      <c r="R4071" s="27"/>
    </row>
    <row r="4072" spans="1:18">
      <c r="A4072" s="28"/>
      <c r="B4072" s="29"/>
      <c r="C4072" s="29"/>
      <c r="D4072" s="29"/>
      <c r="E4072" s="29"/>
      <c r="H4072" s="27"/>
      <c r="K4072"/>
      <c r="P4072" s="27"/>
      <c r="Q4072" s="27"/>
      <c r="R4072" s="27"/>
    </row>
    <row r="4073" spans="1:18">
      <c r="A4073" s="28"/>
      <c r="B4073" s="29"/>
      <c r="C4073" s="29"/>
      <c r="D4073" s="29"/>
      <c r="E4073" s="29"/>
      <c r="H4073" s="27"/>
      <c r="K4073"/>
      <c r="P4073" s="27"/>
      <c r="Q4073" s="27"/>
      <c r="R4073" s="27"/>
    </row>
    <row r="4074" spans="1:18">
      <c r="A4074" s="28"/>
      <c r="B4074" s="29"/>
      <c r="C4074" s="29"/>
      <c r="D4074" s="29"/>
      <c r="E4074" s="29"/>
      <c r="H4074" s="27"/>
      <c r="K4074"/>
      <c r="P4074" s="27"/>
      <c r="Q4074" s="27"/>
      <c r="R4074" s="27"/>
    </row>
    <row r="4075" spans="1:18">
      <c r="A4075" s="28"/>
      <c r="B4075" s="29"/>
      <c r="C4075" s="29"/>
      <c r="D4075" s="29"/>
      <c r="E4075" s="29"/>
      <c r="H4075" s="27"/>
      <c r="K4075"/>
      <c r="P4075" s="27"/>
      <c r="Q4075" s="27"/>
      <c r="R4075" s="27"/>
    </row>
    <row r="4076" spans="1:18">
      <c r="A4076" s="28"/>
      <c r="B4076" s="29"/>
      <c r="C4076" s="29"/>
      <c r="D4076" s="29"/>
      <c r="E4076" s="29"/>
      <c r="H4076" s="27"/>
      <c r="K4076"/>
      <c r="P4076" s="27"/>
      <c r="Q4076" s="27"/>
      <c r="R4076" s="27"/>
    </row>
    <row r="4077" spans="1:18">
      <c r="A4077" s="28"/>
      <c r="B4077" s="29"/>
      <c r="C4077" s="29"/>
      <c r="D4077" s="29"/>
      <c r="E4077" s="29"/>
      <c r="H4077" s="27"/>
      <c r="K4077"/>
      <c r="P4077" s="27"/>
      <c r="Q4077" s="27"/>
      <c r="R4077" s="27"/>
    </row>
    <row r="4078" spans="1:18">
      <c r="A4078" s="28"/>
      <c r="B4078" s="29"/>
      <c r="C4078" s="29"/>
      <c r="D4078" s="29"/>
      <c r="E4078" s="29"/>
      <c r="H4078" s="27"/>
      <c r="K4078"/>
      <c r="P4078" s="27"/>
      <c r="Q4078" s="27"/>
      <c r="R4078" s="27"/>
    </row>
    <row r="4079" spans="1:18">
      <c r="A4079" s="28"/>
      <c r="B4079" s="29"/>
      <c r="C4079" s="29"/>
      <c r="D4079" s="29"/>
      <c r="E4079" s="29"/>
      <c r="H4079" s="27"/>
      <c r="K4079"/>
      <c r="P4079" s="27"/>
      <c r="Q4079" s="27"/>
      <c r="R4079" s="27"/>
    </row>
    <row r="4080" spans="1:18">
      <c r="A4080" s="28"/>
      <c r="B4080" s="29"/>
      <c r="C4080" s="29"/>
      <c r="D4080" s="29"/>
      <c r="E4080" s="29"/>
      <c r="H4080" s="27"/>
      <c r="K4080"/>
      <c r="P4080" s="27"/>
      <c r="Q4080" s="27"/>
      <c r="R4080" s="27"/>
    </row>
    <row r="4081" spans="1:18">
      <c r="A4081" s="28"/>
      <c r="B4081" s="29"/>
      <c r="C4081" s="29"/>
      <c r="D4081" s="29"/>
      <c r="E4081" s="29"/>
      <c r="H4081" s="27"/>
      <c r="K4081"/>
      <c r="P4081" s="27"/>
      <c r="Q4081" s="27"/>
      <c r="R4081" s="27"/>
    </row>
    <row r="4082" spans="1:18">
      <c r="A4082" s="28"/>
      <c r="B4082" s="29"/>
      <c r="C4082" s="29"/>
      <c r="D4082" s="29"/>
      <c r="E4082" s="29"/>
      <c r="H4082" s="27"/>
      <c r="K4082"/>
      <c r="P4082" s="27"/>
      <c r="Q4082" s="27"/>
      <c r="R4082" s="27"/>
    </row>
    <row r="4083" spans="1:18">
      <c r="A4083" s="28"/>
      <c r="B4083" s="29"/>
      <c r="C4083" s="29"/>
      <c r="D4083" s="29"/>
      <c r="E4083" s="29"/>
      <c r="H4083" s="27"/>
      <c r="K4083"/>
      <c r="P4083" s="27"/>
      <c r="Q4083" s="27"/>
      <c r="R4083" s="27"/>
    </row>
    <row r="4084" spans="1:18">
      <c r="A4084" s="28"/>
      <c r="B4084" s="29"/>
      <c r="C4084" s="29"/>
      <c r="D4084" s="29"/>
      <c r="E4084" s="29"/>
      <c r="H4084" s="27"/>
      <c r="K4084"/>
      <c r="P4084" s="27"/>
      <c r="Q4084" s="27"/>
      <c r="R4084" s="27"/>
    </row>
    <row r="4085" spans="1:18">
      <c r="A4085" s="28"/>
      <c r="B4085" s="29"/>
      <c r="C4085" s="29"/>
      <c r="D4085" s="29"/>
      <c r="E4085" s="29"/>
      <c r="H4085" s="27"/>
      <c r="K4085"/>
      <c r="P4085" s="27"/>
      <c r="Q4085" s="27"/>
      <c r="R4085" s="27"/>
    </row>
    <row r="4086" spans="1:18">
      <c r="A4086" s="28"/>
      <c r="B4086" s="29"/>
      <c r="C4086" s="29"/>
      <c r="D4086" s="29"/>
      <c r="E4086" s="29"/>
      <c r="H4086" s="27"/>
      <c r="K4086"/>
      <c r="P4086" s="27"/>
      <c r="Q4086" s="27"/>
      <c r="R4086" s="27"/>
    </row>
    <row r="4087" spans="1:18">
      <c r="A4087" s="28"/>
      <c r="B4087" s="29"/>
      <c r="C4087" s="29"/>
      <c r="D4087" s="29"/>
      <c r="E4087" s="29"/>
      <c r="H4087" s="27"/>
      <c r="K4087"/>
      <c r="P4087" s="27"/>
      <c r="Q4087" s="27"/>
      <c r="R4087" s="27"/>
    </row>
    <row r="4088" spans="1:18">
      <c r="A4088" s="28"/>
      <c r="B4088" s="29"/>
      <c r="C4088" s="29"/>
      <c r="D4088" s="29"/>
      <c r="E4088" s="29"/>
      <c r="H4088" s="27"/>
      <c r="K4088"/>
      <c r="P4088" s="27"/>
      <c r="Q4088" s="27"/>
      <c r="R4088" s="27"/>
    </row>
    <row r="4089" spans="1:18">
      <c r="A4089" s="28"/>
      <c r="B4089" s="29"/>
      <c r="C4089" s="29"/>
      <c r="D4089" s="29"/>
      <c r="E4089" s="29"/>
      <c r="H4089" s="27"/>
      <c r="K4089"/>
      <c r="P4089" s="27"/>
      <c r="Q4089" s="27"/>
      <c r="R4089" s="27"/>
    </row>
    <row r="4090" spans="1:18">
      <c r="A4090" s="28"/>
      <c r="B4090" s="29"/>
      <c r="C4090" s="29"/>
      <c r="D4090" s="29"/>
      <c r="E4090" s="29"/>
      <c r="H4090" s="27"/>
      <c r="K4090"/>
      <c r="P4090" s="27"/>
      <c r="Q4090" s="27"/>
      <c r="R4090" s="27"/>
    </row>
    <row r="4091" spans="1:18">
      <c r="A4091" s="28"/>
      <c r="B4091" s="29"/>
      <c r="C4091" s="29"/>
      <c r="D4091" s="29"/>
      <c r="E4091" s="29"/>
      <c r="H4091" s="27"/>
      <c r="K4091"/>
      <c r="P4091" s="27"/>
      <c r="Q4091" s="27"/>
      <c r="R4091" s="27"/>
    </row>
    <row r="4092" spans="1:18">
      <c r="A4092" s="28"/>
      <c r="B4092" s="29"/>
      <c r="C4092" s="29"/>
      <c r="D4092" s="29"/>
      <c r="E4092" s="29"/>
      <c r="H4092" s="27"/>
      <c r="K4092"/>
      <c r="P4092" s="27"/>
      <c r="Q4092" s="27"/>
      <c r="R4092" s="27"/>
    </row>
    <row r="4093" spans="1:18">
      <c r="A4093" s="28"/>
      <c r="B4093" s="29"/>
      <c r="C4093" s="29"/>
      <c r="D4093" s="29"/>
      <c r="E4093" s="29"/>
      <c r="H4093" s="27"/>
      <c r="K4093"/>
      <c r="P4093" s="27"/>
      <c r="Q4093" s="27"/>
      <c r="R4093" s="27"/>
    </row>
    <row r="4094" spans="1:18">
      <c r="A4094" s="28"/>
      <c r="B4094" s="29"/>
      <c r="C4094" s="29"/>
      <c r="D4094" s="29"/>
      <c r="E4094" s="29"/>
      <c r="H4094" s="27"/>
      <c r="K4094"/>
      <c r="P4094" s="27"/>
      <c r="Q4094" s="27"/>
      <c r="R4094" s="27"/>
    </row>
    <row r="4095" spans="1:18">
      <c r="A4095" s="28"/>
      <c r="B4095" s="29"/>
      <c r="C4095" s="29"/>
      <c r="D4095" s="29"/>
      <c r="E4095" s="29"/>
      <c r="H4095" s="27"/>
      <c r="K4095"/>
      <c r="P4095" s="27"/>
      <c r="Q4095" s="27"/>
      <c r="R4095" s="27"/>
    </row>
    <row r="4096" spans="1:18">
      <c r="A4096" s="28"/>
      <c r="B4096" s="29"/>
      <c r="C4096" s="29"/>
      <c r="D4096" s="29"/>
      <c r="E4096" s="29"/>
      <c r="H4096" s="27"/>
      <c r="K4096"/>
      <c r="P4096" s="27"/>
      <c r="Q4096" s="27"/>
      <c r="R4096" s="27"/>
    </row>
    <row r="4097" spans="1:18">
      <c r="A4097" s="28"/>
      <c r="B4097" s="29"/>
      <c r="C4097" s="29"/>
      <c r="D4097" s="29"/>
      <c r="E4097" s="29"/>
      <c r="H4097" s="27"/>
      <c r="K4097"/>
      <c r="P4097" s="27"/>
      <c r="Q4097" s="27"/>
      <c r="R4097" s="27"/>
    </row>
    <row r="4098" spans="1:18">
      <c r="A4098" s="28"/>
      <c r="B4098" s="29"/>
      <c r="C4098" s="29"/>
      <c r="D4098" s="29"/>
      <c r="E4098" s="29"/>
      <c r="H4098" s="27"/>
      <c r="K4098"/>
      <c r="P4098" s="27"/>
      <c r="Q4098" s="27"/>
      <c r="R4098" s="27"/>
    </row>
    <row r="4099" spans="1:18">
      <c r="A4099" s="28"/>
      <c r="B4099" s="29"/>
      <c r="C4099" s="29"/>
      <c r="D4099" s="29"/>
      <c r="E4099" s="29"/>
      <c r="H4099" s="27"/>
      <c r="K4099"/>
      <c r="P4099" s="27"/>
      <c r="Q4099" s="27"/>
      <c r="R4099" s="27"/>
    </row>
    <row r="4100" spans="1:18">
      <c r="A4100" s="28"/>
      <c r="B4100" s="29"/>
      <c r="C4100" s="29"/>
      <c r="D4100" s="29"/>
      <c r="E4100" s="29"/>
      <c r="H4100" s="27"/>
      <c r="K4100"/>
      <c r="P4100" s="27"/>
      <c r="Q4100" s="27"/>
      <c r="R4100" s="27"/>
    </row>
    <row r="4101" spans="1:18">
      <c r="A4101" s="28"/>
      <c r="B4101" s="29"/>
      <c r="C4101" s="29"/>
      <c r="D4101" s="29"/>
      <c r="E4101" s="29"/>
      <c r="H4101" s="27"/>
      <c r="K4101"/>
      <c r="P4101" s="27"/>
      <c r="Q4101" s="27"/>
      <c r="R4101" s="27"/>
    </row>
    <row r="4102" spans="1:18">
      <c r="A4102" s="28"/>
      <c r="B4102" s="29"/>
      <c r="C4102" s="29"/>
      <c r="D4102" s="29"/>
      <c r="E4102" s="29"/>
      <c r="H4102" s="27"/>
      <c r="K4102"/>
      <c r="P4102" s="27"/>
      <c r="Q4102" s="27"/>
      <c r="R4102" s="27"/>
    </row>
    <row r="4103" spans="1:18">
      <c r="A4103" s="28"/>
      <c r="B4103" s="29"/>
      <c r="C4103" s="29"/>
      <c r="D4103" s="29"/>
      <c r="E4103" s="29"/>
      <c r="H4103" s="27"/>
      <c r="K4103"/>
      <c r="P4103" s="27"/>
      <c r="Q4103" s="27"/>
      <c r="R4103" s="27"/>
    </row>
    <row r="4104" spans="1:18">
      <c r="A4104" s="28"/>
      <c r="B4104" s="29"/>
      <c r="C4104" s="29"/>
      <c r="D4104" s="29"/>
      <c r="E4104" s="29"/>
      <c r="H4104" s="27"/>
      <c r="K4104"/>
      <c r="P4104" s="27"/>
      <c r="Q4104" s="27"/>
      <c r="R4104" s="27"/>
    </row>
    <row r="4105" spans="1:18">
      <c r="A4105" s="28"/>
      <c r="B4105" s="29"/>
      <c r="C4105" s="29"/>
      <c r="D4105" s="29"/>
      <c r="E4105" s="29"/>
      <c r="H4105" s="27"/>
      <c r="K4105"/>
      <c r="P4105" s="27"/>
      <c r="Q4105" s="27"/>
      <c r="R4105" s="27"/>
    </row>
    <row r="4106" spans="1:18">
      <c r="A4106" s="28"/>
      <c r="B4106" s="29"/>
      <c r="C4106" s="29"/>
      <c r="D4106" s="29"/>
      <c r="E4106" s="29"/>
      <c r="H4106" s="27"/>
      <c r="K4106"/>
      <c r="P4106" s="27"/>
      <c r="Q4106" s="27"/>
      <c r="R4106" s="27"/>
    </row>
    <row r="4107" spans="1:18">
      <c r="A4107" s="28"/>
      <c r="B4107" s="29"/>
      <c r="C4107" s="29"/>
      <c r="D4107" s="29"/>
      <c r="E4107" s="29"/>
      <c r="H4107" s="27"/>
      <c r="K4107"/>
      <c r="P4107" s="27"/>
      <c r="Q4107" s="27"/>
      <c r="R4107" s="27"/>
    </row>
    <row r="4108" spans="1:18">
      <c r="A4108" s="28"/>
      <c r="B4108" s="29"/>
      <c r="C4108" s="29"/>
      <c r="D4108" s="29"/>
      <c r="E4108" s="29"/>
      <c r="H4108" s="27"/>
      <c r="K4108"/>
      <c r="P4108" s="27"/>
      <c r="Q4108" s="27"/>
      <c r="R4108" s="27"/>
    </row>
    <row r="4109" spans="1:18">
      <c r="A4109" s="28"/>
      <c r="B4109" s="29"/>
      <c r="C4109" s="29"/>
      <c r="D4109" s="29"/>
      <c r="E4109" s="29"/>
      <c r="H4109" s="27"/>
      <c r="K4109"/>
      <c r="P4109" s="27"/>
      <c r="Q4109" s="27"/>
      <c r="R4109" s="27"/>
    </row>
    <row r="4110" spans="1:18">
      <c r="A4110" s="28"/>
      <c r="B4110" s="29"/>
      <c r="C4110" s="29"/>
      <c r="D4110" s="29"/>
      <c r="E4110" s="29"/>
      <c r="H4110" s="27"/>
      <c r="K4110"/>
      <c r="P4110" s="27"/>
      <c r="Q4110" s="27"/>
      <c r="R4110" s="27"/>
    </row>
    <row r="4111" spans="1:18">
      <c r="A4111" s="28"/>
      <c r="B4111" s="29"/>
      <c r="C4111" s="29"/>
      <c r="D4111" s="29"/>
      <c r="E4111" s="29"/>
      <c r="H4111" s="27"/>
      <c r="K4111"/>
      <c r="P4111" s="27"/>
      <c r="Q4111" s="27"/>
      <c r="R4111" s="27"/>
    </row>
    <row r="4112" spans="1:18">
      <c r="A4112" s="28"/>
      <c r="B4112" s="29"/>
      <c r="C4112" s="29"/>
      <c r="D4112" s="29"/>
      <c r="E4112" s="29"/>
      <c r="H4112" s="27"/>
      <c r="K4112"/>
      <c r="P4112" s="27"/>
      <c r="Q4112" s="27"/>
      <c r="R4112" s="27"/>
    </row>
    <row r="4113" spans="1:18">
      <c r="A4113" s="28"/>
      <c r="B4113" s="29"/>
      <c r="C4113" s="29"/>
      <c r="D4113" s="29"/>
      <c r="E4113" s="29"/>
      <c r="H4113" s="27"/>
      <c r="K4113"/>
      <c r="P4113" s="27"/>
      <c r="Q4113" s="27"/>
      <c r="R4113" s="27"/>
    </row>
    <row r="4114" spans="1:18">
      <c r="A4114" s="28"/>
      <c r="B4114" s="29"/>
      <c r="C4114" s="29"/>
      <c r="D4114" s="29"/>
      <c r="E4114" s="29"/>
      <c r="H4114" s="27"/>
      <c r="K4114"/>
      <c r="P4114" s="27"/>
      <c r="Q4114" s="27"/>
      <c r="R4114" s="27"/>
    </row>
    <row r="4115" spans="1:18">
      <c r="A4115" s="28"/>
      <c r="B4115" s="29"/>
      <c r="C4115" s="29"/>
      <c r="D4115" s="29"/>
      <c r="E4115" s="29"/>
      <c r="H4115" s="27"/>
      <c r="K4115"/>
      <c r="P4115" s="27"/>
      <c r="Q4115" s="27"/>
      <c r="R4115" s="27"/>
    </row>
    <row r="4116" spans="1:18">
      <c r="A4116" s="28"/>
      <c r="B4116" s="29"/>
      <c r="C4116" s="29"/>
      <c r="D4116" s="29"/>
      <c r="E4116" s="29"/>
      <c r="H4116" s="27"/>
      <c r="K4116"/>
      <c r="P4116" s="27"/>
      <c r="Q4116" s="27"/>
      <c r="R4116" s="27"/>
    </row>
    <row r="4117" spans="1:18">
      <c r="A4117" s="28"/>
      <c r="B4117" s="29"/>
      <c r="C4117" s="29"/>
      <c r="D4117" s="29"/>
      <c r="E4117" s="29"/>
      <c r="H4117" s="27"/>
      <c r="K4117"/>
      <c r="P4117" s="27"/>
      <c r="Q4117" s="27"/>
      <c r="R4117" s="27"/>
    </row>
    <row r="4118" spans="1:18">
      <c r="A4118" s="28"/>
      <c r="B4118" s="29"/>
      <c r="C4118" s="29"/>
      <c r="D4118" s="29"/>
      <c r="E4118" s="29"/>
      <c r="H4118" s="27"/>
      <c r="K4118"/>
      <c r="P4118" s="27"/>
      <c r="Q4118" s="27"/>
      <c r="R4118" s="27"/>
    </row>
    <row r="4119" spans="1:18">
      <c r="A4119" s="28"/>
      <c r="B4119" s="29"/>
      <c r="C4119" s="29"/>
      <c r="D4119" s="29"/>
      <c r="E4119" s="29"/>
      <c r="H4119" s="27"/>
      <c r="K4119"/>
      <c r="P4119" s="27"/>
      <c r="Q4119" s="27"/>
      <c r="R4119" s="27"/>
    </row>
    <row r="4120" spans="1:18">
      <c r="A4120" s="28"/>
      <c r="B4120" s="29"/>
      <c r="C4120" s="29"/>
      <c r="D4120" s="29"/>
      <c r="E4120" s="29"/>
      <c r="H4120" s="27"/>
      <c r="K4120"/>
      <c r="P4120" s="27"/>
      <c r="Q4120" s="27"/>
      <c r="R4120" s="27"/>
    </row>
    <row r="4121" spans="1:18">
      <c r="A4121" s="28"/>
      <c r="B4121" s="29"/>
      <c r="C4121" s="29"/>
      <c r="D4121" s="29"/>
      <c r="E4121" s="29"/>
      <c r="H4121" s="27"/>
      <c r="K4121"/>
      <c r="P4121" s="27"/>
      <c r="Q4121" s="27"/>
      <c r="R4121" s="27"/>
    </row>
    <row r="4122" spans="1:18">
      <c r="A4122" s="28"/>
      <c r="B4122" s="29"/>
      <c r="C4122" s="29"/>
      <c r="D4122" s="29"/>
      <c r="E4122" s="29"/>
      <c r="H4122" s="27"/>
      <c r="K4122"/>
      <c r="P4122" s="27"/>
      <c r="Q4122" s="27"/>
      <c r="R4122" s="27"/>
    </row>
    <row r="4123" spans="1:18">
      <c r="A4123" s="28"/>
      <c r="B4123" s="29"/>
      <c r="C4123" s="29"/>
      <c r="D4123" s="29"/>
      <c r="E4123" s="29"/>
      <c r="H4123" s="27"/>
      <c r="K4123"/>
      <c r="P4123" s="27"/>
      <c r="Q4123" s="27"/>
      <c r="R4123" s="27"/>
    </row>
    <row r="4124" spans="1:18">
      <c r="A4124" s="28"/>
      <c r="B4124" s="29"/>
      <c r="C4124" s="29"/>
      <c r="D4124" s="29"/>
      <c r="E4124" s="29"/>
      <c r="H4124" s="27"/>
      <c r="K4124"/>
      <c r="P4124" s="27"/>
      <c r="Q4124" s="27"/>
      <c r="R4124" s="27"/>
    </row>
    <row r="4125" spans="1:18">
      <c r="A4125" s="28"/>
      <c r="B4125" s="29"/>
      <c r="C4125" s="29"/>
      <c r="D4125" s="29"/>
      <c r="E4125" s="29"/>
      <c r="H4125" s="27"/>
      <c r="K4125"/>
      <c r="P4125" s="27"/>
      <c r="Q4125" s="27"/>
      <c r="R4125" s="27"/>
    </row>
    <row r="4126" spans="1:18">
      <c r="A4126" s="28"/>
      <c r="B4126" s="29"/>
      <c r="C4126" s="29"/>
      <c r="D4126" s="29"/>
      <c r="E4126" s="29"/>
      <c r="H4126" s="27"/>
      <c r="K4126"/>
      <c r="P4126" s="27"/>
      <c r="Q4126" s="27"/>
      <c r="R4126" s="27"/>
    </row>
    <row r="4127" spans="1:18">
      <c r="A4127" s="28"/>
      <c r="B4127" s="29"/>
      <c r="C4127" s="29"/>
      <c r="D4127" s="29"/>
      <c r="E4127" s="29"/>
      <c r="H4127" s="27"/>
      <c r="K4127"/>
      <c r="P4127" s="27"/>
      <c r="Q4127" s="27"/>
      <c r="R4127" s="27"/>
    </row>
    <row r="4128" spans="1:18">
      <c r="A4128" s="28"/>
      <c r="B4128" s="29"/>
      <c r="C4128" s="29"/>
      <c r="D4128" s="29"/>
      <c r="E4128" s="29"/>
      <c r="H4128" s="27"/>
      <c r="K4128"/>
      <c r="P4128" s="27"/>
      <c r="Q4128" s="27"/>
      <c r="R4128" s="27"/>
    </row>
    <row r="4129" spans="1:18">
      <c r="A4129" s="28"/>
      <c r="B4129" s="29"/>
      <c r="C4129" s="29"/>
      <c r="D4129" s="29"/>
      <c r="E4129" s="29"/>
      <c r="H4129" s="27"/>
      <c r="K4129"/>
      <c r="P4129" s="27"/>
      <c r="Q4129" s="27"/>
      <c r="R4129" s="27"/>
    </row>
    <row r="4130" spans="1:18">
      <c r="A4130" s="28"/>
      <c r="B4130" s="29"/>
      <c r="C4130" s="29"/>
      <c r="D4130" s="29"/>
      <c r="E4130" s="29"/>
      <c r="H4130" s="27"/>
      <c r="K4130"/>
      <c r="P4130" s="27"/>
      <c r="Q4130" s="27"/>
      <c r="R4130" s="27"/>
    </row>
    <row r="4131" spans="1:18">
      <c r="A4131" s="28"/>
      <c r="B4131" s="29"/>
      <c r="C4131" s="29"/>
      <c r="D4131" s="29"/>
      <c r="E4131" s="29"/>
      <c r="H4131" s="27"/>
      <c r="K4131"/>
      <c r="P4131" s="27"/>
      <c r="Q4131" s="27"/>
      <c r="R4131" s="27"/>
    </row>
    <row r="4132" spans="1:18">
      <c r="A4132" s="28"/>
      <c r="B4132" s="29"/>
      <c r="C4132" s="29"/>
      <c r="D4132" s="29"/>
      <c r="E4132" s="29"/>
      <c r="H4132" s="27"/>
      <c r="K4132"/>
      <c r="P4132" s="27"/>
      <c r="Q4132" s="27"/>
      <c r="R4132" s="27"/>
    </row>
    <row r="4133" spans="1:18">
      <c r="A4133" s="28"/>
      <c r="B4133" s="29"/>
      <c r="C4133" s="29"/>
      <c r="D4133" s="29"/>
      <c r="E4133" s="29"/>
      <c r="H4133" s="27"/>
      <c r="K4133"/>
      <c r="P4133" s="27"/>
      <c r="Q4133" s="27"/>
      <c r="R4133" s="27"/>
    </row>
    <row r="4134" spans="1:18">
      <c r="A4134" s="28"/>
      <c r="B4134" s="29"/>
      <c r="C4134" s="29"/>
      <c r="D4134" s="29"/>
      <c r="E4134" s="29"/>
      <c r="H4134" s="27"/>
      <c r="K4134"/>
      <c r="P4134" s="27"/>
      <c r="Q4134" s="27"/>
      <c r="R4134" s="27"/>
    </row>
    <row r="4135" spans="1:18">
      <c r="A4135" s="28"/>
      <c r="B4135" s="29"/>
      <c r="C4135" s="29"/>
      <c r="D4135" s="29"/>
      <c r="E4135" s="29"/>
      <c r="H4135" s="27"/>
      <c r="K4135"/>
      <c r="P4135" s="27"/>
      <c r="Q4135" s="27"/>
      <c r="R4135" s="27"/>
    </row>
    <row r="4136" spans="1:18">
      <c r="A4136" s="28"/>
      <c r="B4136" s="29"/>
      <c r="C4136" s="29"/>
      <c r="D4136" s="29"/>
      <c r="E4136" s="29"/>
      <c r="H4136" s="27"/>
      <c r="K4136"/>
      <c r="P4136" s="27"/>
      <c r="Q4136" s="27"/>
      <c r="R4136" s="27"/>
    </row>
    <row r="4137" spans="1:18">
      <c r="A4137" s="28"/>
      <c r="B4137" s="29"/>
      <c r="C4137" s="29"/>
      <c r="D4137" s="29"/>
      <c r="E4137" s="29"/>
      <c r="H4137" s="27"/>
      <c r="K4137"/>
      <c r="P4137" s="27"/>
      <c r="Q4137" s="27"/>
      <c r="R4137" s="27"/>
    </row>
    <row r="4138" spans="1:18">
      <c r="A4138" s="28"/>
      <c r="B4138" s="29"/>
      <c r="C4138" s="29"/>
      <c r="D4138" s="29"/>
      <c r="E4138" s="29"/>
      <c r="H4138" s="27"/>
      <c r="K4138"/>
      <c r="P4138" s="27"/>
      <c r="Q4138" s="27"/>
      <c r="R4138" s="27"/>
    </row>
    <row r="4139" spans="1:18">
      <c r="A4139" s="28"/>
      <c r="B4139" s="29"/>
      <c r="C4139" s="29"/>
      <c r="D4139" s="29"/>
      <c r="E4139" s="29"/>
      <c r="H4139" s="27"/>
      <c r="K4139"/>
      <c r="P4139" s="27"/>
      <c r="Q4139" s="27"/>
      <c r="R4139" s="27"/>
    </row>
    <row r="4140" spans="1:18">
      <c r="A4140" s="28"/>
      <c r="B4140" s="29"/>
      <c r="C4140" s="29"/>
      <c r="D4140" s="29"/>
      <c r="E4140" s="29"/>
      <c r="H4140" s="27"/>
      <c r="K4140"/>
      <c r="P4140" s="27"/>
      <c r="Q4140" s="27"/>
      <c r="R4140" s="27"/>
    </row>
    <row r="4141" spans="1:18">
      <c r="A4141" s="28"/>
      <c r="B4141" s="29"/>
      <c r="C4141" s="29"/>
      <c r="D4141" s="29"/>
      <c r="E4141" s="29"/>
      <c r="H4141" s="27"/>
      <c r="K4141"/>
      <c r="P4141" s="27"/>
      <c r="Q4141" s="27"/>
      <c r="R4141" s="27"/>
    </row>
    <row r="4142" spans="1:18">
      <c r="A4142" s="28"/>
      <c r="B4142" s="29"/>
      <c r="C4142" s="29"/>
      <c r="D4142" s="29"/>
      <c r="E4142" s="29"/>
      <c r="H4142" s="27"/>
      <c r="K4142"/>
      <c r="P4142" s="27"/>
      <c r="Q4142" s="27"/>
      <c r="R4142" s="27"/>
    </row>
    <row r="4143" spans="1:18">
      <c r="A4143" s="28"/>
      <c r="B4143" s="29"/>
      <c r="C4143" s="29"/>
      <c r="D4143" s="29"/>
      <c r="E4143" s="29"/>
      <c r="H4143" s="27"/>
      <c r="K4143"/>
      <c r="P4143" s="27"/>
      <c r="Q4143" s="27"/>
      <c r="R4143" s="27"/>
    </row>
    <row r="4144" spans="1:18">
      <c r="A4144" s="28"/>
      <c r="B4144" s="29"/>
      <c r="C4144" s="29"/>
      <c r="D4144" s="29"/>
      <c r="E4144" s="29"/>
      <c r="H4144" s="27"/>
      <c r="K4144"/>
      <c r="P4144" s="27"/>
      <c r="Q4144" s="27"/>
      <c r="R4144" s="27"/>
    </row>
    <row r="4145" spans="1:18">
      <c r="A4145" s="28"/>
      <c r="B4145" s="29"/>
      <c r="C4145" s="29"/>
      <c r="D4145" s="29"/>
      <c r="E4145" s="29"/>
      <c r="H4145" s="27"/>
      <c r="K4145"/>
      <c r="P4145" s="27"/>
      <c r="Q4145" s="27"/>
      <c r="R4145" s="27"/>
    </row>
    <row r="4146" spans="1:18">
      <c r="A4146" s="28"/>
      <c r="B4146" s="29"/>
      <c r="C4146" s="29"/>
      <c r="D4146" s="29"/>
      <c r="E4146" s="29"/>
      <c r="H4146" s="27"/>
      <c r="K4146"/>
      <c r="P4146" s="27"/>
      <c r="Q4146" s="27"/>
      <c r="R4146" s="27"/>
    </row>
    <row r="4147" spans="1:18">
      <c r="A4147" s="28"/>
      <c r="B4147" s="29"/>
      <c r="C4147" s="29"/>
      <c r="D4147" s="29"/>
      <c r="E4147" s="29"/>
      <c r="H4147" s="27"/>
      <c r="K4147"/>
      <c r="P4147" s="27"/>
      <c r="Q4147" s="27"/>
      <c r="R4147" s="27"/>
    </row>
    <row r="4148" spans="1:18">
      <c r="A4148" s="28"/>
      <c r="B4148" s="29"/>
      <c r="C4148" s="29"/>
      <c r="D4148" s="29"/>
      <c r="E4148" s="29"/>
      <c r="H4148" s="27"/>
      <c r="K4148"/>
      <c r="P4148" s="27"/>
      <c r="Q4148" s="27"/>
      <c r="R4148" s="27"/>
    </row>
    <row r="4149" spans="1:18">
      <c r="A4149" s="28"/>
      <c r="B4149" s="29"/>
      <c r="C4149" s="29"/>
      <c r="D4149" s="29"/>
      <c r="E4149" s="29"/>
      <c r="H4149" s="27"/>
      <c r="K4149"/>
      <c r="P4149" s="27"/>
      <c r="Q4149" s="27"/>
      <c r="R4149" s="27"/>
    </row>
    <row r="4150" spans="1:18">
      <c r="A4150" s="28"/>
      <c r="B4150" s="29"/>
      <c r="C4150" s="29"/>
      <c r="D4150" s="29"/>
      <c r="E4150" s="29"/>
      <c r="H4150" s="27"/>
      <c r="K4150"/>
      <c r="P4150" s="27"/>
      <c r="Q4150" s="27"/>
      <c r="R4150" s="27"/>
    </row>
    <row r="4151" spans="1:18">
      <c r="A4151" s="28"/>
      <c r="B4151" s="29"/>
      <c r="C4151" s="29"/>
      <c r="D4151" s="29"/>
      <c r="E4151" s="29"/>
      <c r="H4151" s="27"/>
      <c r="K4151"/>
      <c r="P4151" s="27"/>
      <c r="Q4151" s="27"/>
      <c r="R4151" s="27"/>
    </row>
    <row r="4152" spans="1:18">
      <c r="A4152" s="28"/>
      <c r="B4152" s="29"/>
      <c r="C4152" s="29"/>
      <c r="D4152" s="29"/>
      <c r="E4152" s="29"/>
      <c r="H4152" s="27"/>
      <c r="K4152"/>
      <c r="P4152" s="27"/>
      <c r="Q4152" s="27"/>
      <c r="R4152" s="27"/>
    </row>
    <row r="4153" spans="1:18">
      <c r="A4153" s="28"/>
      <c r="B4153" s="29"/>
      <c r="C4153" s="29"/>
      <c r="D4153" s="29"/>
      <c r="E4153" s="29"/>
      <c r="H4153" s="27"/>
      <c r="K4153"/>
      <c r="P4153" s="27"/>
      <c r="Q4153" s="27"/>
      <c r="R4153" s="27"/>
    </row>
    <row r="4154" spans="1:18">
      <c r="A4154" s="28"/>
      <c r="B4154" s="29"/>
      <c r="C4154" s="29"/>
      <c r="D4154" s="29"/>
      <c r="E4154" s="29"/>
      <c r="H4154" s="27"/>
      <c r="K4154"/>
      <c r="P4154" s="27"/>
      <c r="Q4154" s="27"/>
      <c r="R4154" s="27"/>
    </row>
    <row r="4155" spans="1:18">
      <c r="A4155" s="28"/>
      <c r="B4155" s="29"/>
      <c r="C4155" s="29"/>
      <c r="D4155" s="29"/>
      <c r="E4155" s="29"/>
      <c r="H4155" s="27"/>
      <c r="K4155"/>
      <c r="P4155" s="27"/>
      <c r="Q4155" s="27"/>
      <c r="R4155" s="27"/>
    </row>
    <row r="4156" spans="1:18">
      <c r="A4156" s="28"/>
      <c r="B4156" s="29"/>
      <c r="C4156" s="29"/>
      <c r="D4156" s="29"/>
      <c r="E4156" s="29"/>
      <c r="H4156" s="27"/>
      <c r="K4156"/>
      <c r="P4156" s="27"/>
      <c r="Q4156" s="27"/>
      <c r="R4156" s="27"/>
    </row>
    <row r="4157" spans="1:18">
      <c r="A4157" s="28"/>
      <c r="B4157" s="29"/>
      <c r="C4157" s="29"/>
      <c r="D4157" s="29"/>
      <c r="E4157" s="29"/>
      <c r="H4157" s="27"/>
      <c r="K4157"/>
      <c r="P4157" s="27"/>
      <c r="Q4157" s="27"/>
      <c r="R4157" s="27"/>
    </row>
    <row r="4158" spans="1:18">
      <c r="A4158" s="28"/>
      <c r="B4158" s="29"/>
      <c r="C4158" s="29"/>
      <c r="D4158" s="29"/>
      <c r="E4158" s="29"/>
      <c r="H4158" s="27"/>
      <c r="K4158"/>
      <c r="P4158" s="27"/>
      <c r="Q4158" s="27"/>
      <c r="R4158" s="27"/>
    </row>
    <row r="4159" spans="1:18">
      <c r="A4159" s="28"/>
      <c r="B4159" s="29"/>
      <c r="C4159" s="29"/>
      <c r="D4159" s="29"/>
      <c r="E4159" s="29"/>
      <c r="H4159" s="27"/>
      <c r="K4159"/>
      <c r="P4159" s="27"/>
      <c r="Q4159" s="27"/>
      <c r="R4159" s="27"/>
    </row>
    <row r="4160" spans="1:18">
      <c r="A4160" s="28"/>
      <c r="B4160" s="29"/>
      <c r="C4160" s="29"/>
      <c r="D4160" s="29"/>
      <c r="E4160" s="29"/>
      <c r="H4160" s="27"/>
      <c r="K4160"/>
      <c r="P4160" s="27"/>
      <c r="Q4160" s="27"/>
      <c r="R4160" s="27"/>
    </row>
    <row r="4161" spans="1:18">
      <c r="A4161" s="28"/>
      <c r="B4161" s="29"/>
      <c r="C4161" s="29"/>
      <c r="D4161" s="29"/>
      <c r="E4161" s="29"/>
      <c r="H4161" s="27"/>
      <c r="K4161"/>
      <c r="P4161" s="27"/>
      <c r="Q4161" s="27"/>
      <c r="R4161" s="27"/>
    </row>
    <row r="4162" spans="1:18">
      <c r="A4162" s="28"/>
      <c r="B4162" s="29"/>
      <c r="C4162" s="29"/>
      <c r="D4162" s="29"/>
      <c r="E4162" s="29"/>
      <c r="H4162" s="27"/>
      <c r="K4162"/>
      <c r="P4162" s="27"/>
      <c r="Q4162" s="27"/>
      <c r="R4162" s="27"/>
    </row>
    <row r="4163" spans="1:18">
      <c r="A4163" s="28"/>
      <c r="B4163" s="29"/>
      <c r="C4163" s="29"/>
      <c r="D4163" s="29"/>
      <c r="E4163" s="29"/>
      <c r="H4163" s="27"/>
      <c r="K4163"/>
      <c r="P4163" s="27"/>
      <c r="Q4163" s="27"/>
      <c r="R4163" s="27"/>
    </row>
    <row r="4164" spans="1:18">
      <c r="A4164" s="28"/>
      <c r="B4164" s="29"/>
      <c r="C4164" s="29"/>
      <c r="D4164" s="29"/>
      <c r="E4164" s="29"/>
      <c r="H4164" s="27"/>
      <c r="K4164"/>
      <c r="P4164" s="27"/>
      <c r="Q4164" s="27"/>
      <c r="R4164" s="27"/>
    </row>
    <row r="4165" spans="1:18">
      <c r="A4165" s="28"/>
      <c r="B4165" s="29"/>
      <c r="C4165" s="29"/>
      <c r="D4165" s="29"/>
      <c r="E4165" s="29"/>
      <c r="H4165" s="27"/>
      <c r="K4165"/>
      <c r="P4165" s="27"/>
      <c r="Q4165" s="27"/>
      <c r="R4165" s="27"/>
    </row>
    <row r="4166" spans="1:18">
      <c r="A4166" s="28"/>
      <c r="B4166" s="29"/>
      <c r="C4166" s="29"/>
      <c r="D4166" s="29"/>
      <c r="E4166" s="29"/>
      <c r="H4166" s="27"/>
      <c r="K4166"/>
      <c r="P4166" s="27"/>
      <c r="Q4166" s="27"/>
      <c r="R4166" s="27"/>
    </row>
    <row r="4167" spans="1:18">
      <c r="A4167" s="28"/>
      <c r="B4167" s="29"/>
      <c r="C4167" s="29"/>
      <c r="D4167" s="29"/>
      <c r="E4167" s="29"/>
      <c r="H4167" s="27"/>
      <c r="K4167"/>
      <c r="P4167" s="27"/>
      <c r="Q4167" s="27"/>
      <c r="R4167" s="27"/>
    </row>
    <row r="4168" spans="1:18">
      <c r="A4168" s="28"/>
      <c r="B4168" s="29"/>
      <c r="C4168" s="29"/>
      <c r="D4168" s="29"/>
      <c r="E4168" s="29"/>
      <c r="H4168" s="27"/>
      <c r="K4168"/>
      <c r="P4168" s="27"/>
      <c r="Q4168" s="27"/>
      <c r="R4168" s="27"/>
    </row>
    <row r="4169" spans="1:18">
      <c r="A4169" s="28"/>
      <c r="B4169" s="29"/>
      <c r="C4169" s="29"/>
      <c r="D4169" s="29"/>
      <c r="E4169" s="29"/>
      <c r="H4169" s="27"/>
      <c r="K4169"/>
      <c r="P4169" s="27"/>
      <c r="Q4169" s="27"/>
      <c r="R4169" s="27"/>
    </row>
    <row r="4170" spans="1:18">
      <c r="A4170" s="28"/>
      <c r="B4170" s="29"/>
      <c r="C4170" s="29"/>
      <c r="D4170" s="29"/>
      <c r="E4170" s="29"/>
      <c r="H4170" s="27"/>
      <c r="K4170"/>
      <c r="P4170" s="27"/>
      <c r="Q4170" s="27"/>
      <c r="R4170" s="27"/>
    </row>
    <row r="4171" spans="1:18">
      <c r="A4171" s="28"/>
      <c r="B4171" s="29"/>
      <c r="C4171" s="29"/>
      <c r="D4171" s="29"/>
      <c r="E4171" s="29"/>
      <c r="H4171" s="27"/>
      <c r="K4171"/>
      <c r="P4171" s="27"/>
      <c r="Q4171" s="27"/>
      <c r="R4171" s="27"/>
    </row>
    <row r="4172" spans="1:18">
      <c r="A4172" s="28"/>
      <c r="B4172" s="29"/>
      <c r="C4172" s="29"/>
      <c r="D4172" s="29"/>
      <c r="E4172" s="29"/>
      <c r="H4172" s="27"/>
      <c r="K4172"/>
      <c r="P4172" s="27"/>
      <c r="Q4172" s="27"/>
      <c r="R4172" s="27"/>
    </row>
    <row r="4173" spans="1:18">
      <c r="A4173" s="28"/>
      <c r="B4173" s="29"/>
      <c r="C4173" s="29"/>
      <c r="D4173" s="29"/>
      <c r="E4173" s="29"/>
      <c r="H4173" s="27"/>
      <c r="K4173"/>
      <c r="P4173" s="27"/>
      <c r="Q4173" s="27"/>
      <c r="R4173" s="27"/>
    </row>
    <row r="4174" spans="1:18">
      <c r="A4174" s="28"/>
      <c r="B4174" s="29"/>
      <c r="C4174" s="29"/>
      <c r="D4174" s="29"/>
      <c r="E4174" s="29"/>
      <c r="H4174" s="27"/>
      <c r="K4174"/>
      <c r="P4174" s="27"/>
      <c r="Q4174" s="27"/>
      <c r="R4174" s="27"/>
    </row>
    <row r="4175" spans="1:18">
      <c r="A4175" s="28"/>
      <c r="B4175" s="29"/>
      <c r="C4175" s="29"/>
      <c r="D4175" s="29"/>
      <c r="E4175" s="29"/>
      <c r="H4175" s="27"/>
      <c r="K4175"/>
      <c r="P4175" s="27"/>
      <c r="Q4175" s="27"/>
      <c r="R4175" s="27"/>
    </row>
    <row r="4176" spans="1:18">
      <c r="A4176" s="28"/>
      <c r="B4176" s="29"/>
      <c r="C4176" s="29"/>
      <c r="D4176" s="29"/>
      <c r="E4176" s="29"/>
      <c r="H4176" s="27"/>
      <c r="K4176"/>
      <c r="P4176" s="27"/>
      <c r="Q4176" s="27"/>
      <c r="R4176" s="27"/>
    </row>
    <row r="4177" spans="1:18">
      <c r="A4177" s="28"/>
      <c r="B4177" s="29"/>
      <c r="C4177" s="29"/>
      <c r="D4177" s="29"/>
      <c r="E4177" s="29"/>
      <c r="H4177" s="27"/>
      <c r="K4177"/>
      <c r="P4177" s="27"/>
      <c r="Q4177" s="27"/>
      <c r="R4177" s="27"/>
    </row>
    <row r="4178" spans="1:18">
      <c r="A4178" s="28"/>
      <c r="B4178" s="29"/>
      <c r="C4178" s="29"/>
      <c r="D4178" s="29"/>
      <c r="E4178" s="29"/>
      <c r="H4178" s="27"/>
      <c r="K4178"/>
      <c r="P4178" s="27"/>
      <c r="Q4178" s="27"/>
      <c r="R4178" s="27"/>
    </row>
    <row r="4179" spans="1:18">
      <c r="A4179" s="28"/>
      <c r="B4179" s="29"/>
      <c r="C4179" s="29"/>
      <c r="D4179" s="29"/>
      <c r="E4179" s="29"/>
      <c r="H4179" s="27"/>
      <c r="K4179"/>
      <c r="P4179" s="27"/>
      <c r="Q4179" s="27"/>
      <c r="R4179" s="27"/>
    </row>
    <row r="4180" spans="1:18">
      <c r="A4180" s="28"/>
      <c r="B4180" s="29"/>
      <c r="C4180" s="29"/>
      <c r="D4180" s="29"/>
      <c r="E4180" s="29"/>
      <c r="H4180" s="27"/>
      <c r="K4180"/>
      <c r="P4180" s="27"/>
      <c r="Q4180" s="27"/>
      <c r="R4180" s="27"/>
    </row>
    <row r="4181" spans="1:18">
      <c r="A4181" s="28"/>
      <c r="B4181" s="29"/>
      <c r="C4181" s="29"/>
      <c r="D4181" s="29"/>
      <c r="E4181" s="29"/>
      <c r="H4181" s="27"/>
      <c r="K4181"/>
      <c r="P4181" s="27"/>
      <c r="Q4181" s="27"/>
      <c r="R4181" s="27"/>
    </row>
    <row r="4182" spans="1:18">
      <c r="A4182" s="28"/>
      <c r="B4182" s="29"/>
      <c r="C4182" s="29"/>
      <c r="D4182" s="29"/>
      <c r="E4182" s="29"/>
      <c r="H4182" s="27"/>
      <c r="K4182"/>
      <c r="P4182" s="27"/>
      <c r="Q4182" s="27"/>
      <c r="R4182" s="27"/>
    </row>
    <row r="4183" spans="1:18">
      <c r="A4183" s="28"/>
      <c r="B4183" s="29"/>
      <c r="C4183" s="29"/>
      <c r="D4183" s="29"/>
      <c r="E4183" s="29"/>
      <c r="H4183" s="27"/>
      <c r="K4183"/>
      <c r="P4183" s="27"/>
      <c r="Q4183" s="27"/>
      <c r="R4183" s="27"/>
    </row>
    <row r="4184" spans="1:18">
      <c r="A4184" s="28"/>
      <c r="B4184" s="29"/>
      <c r="C4184" s="29"/>
      <c r="D4184" s="29"/>
      <c r="E4184" s="29"/>
      <c r="H4184" s="27"/>
      <c r="K4184"/>
      <c r="P4184" s="27"/>
      <c r="Q4184" s="27"/>
      <c r="R4184" s="27"/>
    </row>
    <row r="4185" spans="1:18">
      <c r="A4185" s="28"/>
      <c r="B4185" s="29"/>
      <c r="C4185" s="29"/>
      <c r="D4185" s="29"/>
      <c r="E4185" s="29"/>
      <c r="H4185" s="27"/>
      <c r="K4185"/>
      <c r="P4185" s="27"/>
      <c r="Q4185" s="27"/>
      <c r="R4185" s="27"/>
    </row>
    <row r="4186" spans="1:18">
      <c r="A4186" s="28"/>
      <c r="B4186" s="29"/>
      <c r="C4186" s="29"/>
      <c r="D4186" s="29"/>
      <c r="E4186" s="29"/>
      <c r="H4186" s="27"/>
      <c r="K4186"/>
      <c r="P4186" s="27"/>
      <c r="Q4186" s="27"/>
      <c r="R4186" s="27"/>
    </row>
    <row r="4187" spans="1:18">
      <c r="A4187" s="28"/>
      <c r="B4187" s="29"/>
      <c r="C4187" s="29"/>
      <c r="D4187" s="29"/>
      <c r="E4187" s="29"/>
      <c r="H4187" s="27"/>
      <c r="K4187"/>
      <c r="P4187" s="27"/>
      <c r="Q4187" s="27"/>
      <c r="R4187" s="27"/>
    </row>
    <row r="4188" spans="1:18">
      <c r="A4188" s="28"/>
      <c r="B4188" s="29"/>
      <c r="C4188" s="29"/>
      <c r="D4188" s="29"/>
      <c r="E4188" s="29"/>
      <c r="H4188" s="27"/>
      <c r="K4188"/>
      <c r="P4188" s="27"/>
      <c r="Q4188" s="27"/>
      <c r="R4188" s="27"/>
    </row>
    <row r="4189" spans="1:18">
      <c r="A4189" s="28"/>
      <c r="B4189" s="29"/>
      <c r="C4189" s="29"/>
      <c r="D4189" s="29"/>
      <c r="E4189" s="29"/>
      <c r="H4189" s="27"/>
      <c r="K4189"/>
      <c r="P4189" s="27"/>
      <c r="Q4189" s="27"/>
      <c r="R4189" s="27"/>
    </row>
    <row r="4190" spans="1:18">
      <c r="A4190" s="28"/>
      <c r="B4190" s="29"/>
      <c r="C4190" s="29"/>
      <c r="D4190" s="29"/>
      <c r="E4190" s="29"/>
      <c r="H4190" s="27"/>
      <c r="K4190"/>
      <c r="P4190" s="27"/>
      <c r="Q4190" s="27"/>
      <c r="R4190" s="27"/>
    </row>
    <row r="4191" spans="1:18">
      <c r="A4191" s="28"/>
      <c r="B4191" s="29"/>
      <c r="C4191" s="29"/>
      <c r="D4191" s="29"/>
      <c r="E4191" s="29"/>
      <c r="H4191" s="27"/>
      <c r="K4191"/>
      <c r="P4191" s="27"/>
      <c r="Q4191" s="27"/>
      <c r="R4191" s="27"/>
    </row>
    <row r="4192" spans="1:18">
      <c r="A4192" s="28"/>
      <c r="B4192" s="29"/>
      <c r="C4192" s="29"/>
      <c r="D4192" s="29"/>
      <c r="E4192" s="29"/>
      <c r="H4192" s="27"/>
      <c r="K4192"/>
      <c r="P4192" s="27"/>
      <c r="Q4192" s="27"/>
      <c r="R4192" s="27"/>
    </row>
    <row r="4193" spans="1:18">
      <c r="A4193" s="28"/>
      <c r="B4193" s="29"/>
      <c r="C4193" s="29"/>
      <c r="D4193" s="29"/>
      <c r="E4193" s="29"/>
      <c r="H4193" s="27"/>
      <c r="K4193"/>
      <c r="P4193" s="27"/>
      <c r="Q4193" s="27"/>
      <c r="R4193" s="27"/>
    </row>
    <row r="4194" spans="1:18">
      <c r="A4194" s="28"/>
      <c r="B4194" s="29"/>
      <c r="C4194" s="29"/>
      <c r="D4194" s="29"/>
      <c r="E4194" s="29"/>
      <c r="H4194" s="27"/>
      <c r="K4194"/>
      <c r="P4194" s="27"/>
      <c r="Q4194" s="27"/>
      <c r="R4194" s="27"/>
    </row>
    <row r="4195" spans="1:18">
      <c r="A4195" s="28"/>
      <c r="B4195" s="29"/>
      <c r="C4195" s="29"/>
      <c r="D4195" s="29"/>
      <c r="E4195" s="29"/>
      <c r="H4195" s="27"/>
      <c r="K4195"/>
      <c r="P4195" s="27"/>
      <c r="Q4195" s="27"/>
      <c r="R4195" s="27"/>
    </row>
    <row r="4196" spans="1:18">
      <c r="A4196" s="28"/>
      <c r="B4196" s="29"/>
      <c r="C4196" s="29"/>
      <c r="D4196" s="29"/>
      <c r="E4196" s="29"/>
      <c r="H4196" s="27"/>
      <c r="K4196"/>
      <c r="P4196" s="27"/>
      <c r="Q4196" s="27"/>
      <c r="R4196" s="27"/>
    </row>
    <row r="4197" spans="1:18">
      <c r="A4197" s="28"/>
      <c r="B4197" s="29"/>
      <c r="C4197" s="29"/>
      <c r="D4197" s="29"/>
      <c r="E4197" s="29"/>
      <c r="H4197" s="27"/>
      <c r="K4197"/>
      <c r="P4197" s="27"/>
      <c r="Q4197" s="27"/>
      <c r="R4197" s="27"/>
    </row>
    <row r="4198" spans="1:18">
      <c r="A4198" s="28"/>
      <c r="B4198" s="29"/>
      <c r="C4198" s="29"/>
      <c r="D4198" s="29"/>
      <c r="E4198" s="29"/>
      <c r="H4198" s="27"/>
      <c r="K4198"/>
      <c r="P4198" s="27"/>
      <c r="Q4198" s="27"/>
      <c r="R4198" s="27"/>
    </row>
    <row r="4199" spans="1:18">
      <c r="A4199" s="28"/>
      <c r="B4199" s="29"/>
      <c r="C4199" s="29"/>
      <c r="D4199" s="29"/>
      <c r="E4199" s="29"/>
      <c r="H4199" s="27"/>
      <c r="K4199"/>
      <c r="P4199" s="27"/>
      <c r="Q4199" s="27"/>
      <c r="R4199" s="27"/>
    </row>
    <row r="4200" spans="1:18">
      <c r="A4200" s="28"/>
      <c r="B4200" s="29"/>
      <c r="C4200" s="29"/>
      <c r="D4200" s="29"/>
      <c r="E4200" s="29"/>
      <c r="H4200" s="27"/>
      <c r="K4200"/>
      <c r="P4200" s="27"/>
      <c r="Q4200" s="27"/>
      <c r="R4200" s="27"/>
    </row>
    <row r="4201" spans="1:18">
      <c r="A4201" s="28"/>
      <c r="B4201" s="29"/>
      <c r="C4201" s="29"/>
      <c r="D4201" s="29"/>
      <c r="E4201" s="29"/>
      <c r="H4201" s="27"/>
      <c r="K4201"/>
      <c r="P4201" s="27"/>
      <c r="Q4201" s="27"/>
      <c r="R4201" s="27"/>
    </row>
    <row r="4202" spans="1:18">
      <c r="A4202" s="28"/>
      <c r="B4202" s="29"/>
      <c r="C4202" s="29"/>
      <c r="D4202" s="29"/>
      <c r="E4202" s="29"/>
      <c r="H4202" s="27"/>
      <c r="K4202"/>
      <c r="P4202" s="27"/>
      <c r="Q4202" s="27"/>
      <c r="R4202" s="27"/>
    </row>
    <row r="4203" spans="1:18">
      <c r="A4203" s="28"/>
      <c r="B4203" s="29"/>
      <c r="C4203" s="29"/>
      <c r="D4203" s="29"/>
      <c r="E4203" s="29"/>
      <c r="H4203" s="27"/>
      <c r="K4203"/>
      <c r="P4203" s="27"/>
      <c r="Q4203" s="27"/>
      <c r="R4203" s="27"/>
    </row>
    <row r="4204" spans="1:18">
      <c r="A4204" s="28"/>
      <c r="B4204" s="29"/>
      <c r="C4204" s="29"/>
      <c r="D4204" s="29"/>
      <c r="E4204" s="29"/>
      <c r="H4204" s="27"/>
      <c r="K4204"/>
      <c r="P4204" s="27"/>
      <c r="Q4204" s="27"/>
      <c r="R4204" s="27"/>
    </row>
    <row r="4205" spans="1:18">
      <c r="A4205" s="28"/>
      <c r="B4205" s="29"/>
      <c r="C4205" s="29"/>
      <c r="D4205" s="29"/>
      <c r="E4205" s="29"/>
      <c r="H4205" s="27"/>
      <c r="K4205"/>
      <c r="P4205" s="27"/>
      <c r="Q4205" s="27"/>
      <c r="R4205" s="27"/>
    </row>
    <row r="4206" spans="1:18">
      <c r="A4206" s="28"/>
      <c r="B4206" s="29"/>
      <c r="C4206" s="29"/>
      <c r="D4206" s="29"/>
      <c r="E4206" s="29"/>
      <c r="H4206" s="27"/>
      <c r="K4206"/>
      <c r="P4206" s="27"/>
      <c r="Q4206" s="27"/>
      <c r="R4206" s="27"/>
    </row>
    <row r="4207" spans="1:18">
      <c r="A4207" s="28"/>
      <c r="B4207" s="29"/>
      <c r="C4207" s="29"/>
      <c r="D4207" s="29"/>
      <c r="E4207" s="29"/>
      <c r="H4207" s="27"/>
      <c r="K4207"/>
      <c r="P4207" s="27"/>
      <c r="Q4207" s="27"/>
      <c r="R4207" s="27"/>
    </row>
    <row r="4208" spans="1:18">
      <c r="A4208" s="28"/>
      <c r="B4208" s="29"/>
      <c r="C4208" s="29"/>
      <c r="D4208" s="29"/>
      <c r="E4208" s="29"/>
      <c r="H4208" s="27"/>
      <c r="K4208"/>
      <c r="P4208" s="27"/>
      <c r="Q4208" s="27"/>
      <c r="R4208" s="27"/>
    </row>
    <row r="4209" spans="1:18">
      <c r="A4209" s="28"/>
      <c r="B4209" s="29"/>
      <c r="C4209" s="29"/>
      <c r="D4209" s="29"/>
      <c r="E4209" s="29"/>
      <c r="H4209" s="27"/>
      <c r="K4209"/>
      <c r="P4209" s="27"/>
      <c r="Q4209" s="27"/>
      <c r="R4209" s="27"/>
    </row>
    <row r="4210" spans="1:18">
      <c r="A4210" s="28"/>
      <c r="B4210" s="29"/>
      <c r="C4210" s="29"/>
      <c r="D4210" s="29"/>
      <c r="E4210" s="29"/>
      <c r="H4210" s="27"/>
      <c r="K4210"/>
      <c r="P4210" s="27"/>
      <c r="Q4210" s="27"/>
      <c r="R4210" s="27"/>
    </row>
    <row r="4211" spans="1:18">
      <c r="A4211" s="28"/>
      <c r="B4211" s="29"/>
      <c r="C4211" s="29"/>
      <c r="D4211" s="29"/>
      <c r="E4211" s="29"/>
      <c r="H4211" s="27"/>
      <c r="K4211"/>
      <c r="P4211" s="27"/>
      <c r="Q4211" s="27"/>
      <c r="R4211" s="27"/>
    </row>
    <row r="4212" spans="1:18">
      <c r="A4212" s="28"/>
      <c r="B4212" s="29"/>
      <c r="C4212" s="29"/>
      <c r="D4212" s="29"/>
      <c r="E4212" s="29"/>
      <c r="H4212" s="27"/>
      <c r="K4212"/>
      <c r="P4212" s="27"/>
      <c r="Q4212" s="27"/>
      <c r="R4212" s="27"/>
    </row>
    <row r="4213" spans="1:18">
      <c r="A4213" s="28"/>
      <c r="B4213" s="29"/>
      <c r="C4213" s="29"/>
      <c r="D4213" s="29"/>
      <c r="E4213" s="29"/>
      <c r="H4213" s="27"/>
      <c r="K4213"/>
      <c r="P4213" s="27"/>
      <c r="Q4213" s="27"/>
      <c r="R4213" s="27"/>
    </row>
    <row r="4214" spans="1:18">
      <c r="A4214" s="28"/>
      <c r="B4214" s="29"/>
      <c r="C4214" s="29"/>
      <c r="D4214" s="29"/>
      <c r="E4214" s="29"/>
      <c r="H4214" s="27"/>
      <c r="K4214"/>
      <c r="P4214" s="27"/>
      <c r="Q4214" s="27"/>
      <c r="R4214" s="27"/>
    </row>
    <row r="4215" spans="1:18">
      <c r="A4215" s="28"/>
      <c r="B4215" s="29"/>
      <c r="C4215" s="29"/>
      <c r="D4215" s="29"/>
      <c r="E4215" s="29"/>
      <c r="H4215" s="27"/>
      <c r="K4215"/>
      <c r="P4215" s="27"/>
      <c r="Q4215" s="27"/>
      <c r="R4215" s="27"/>
    </row>
    <row r="4216" spans="1:18">
      <c r="A4216" s="28"/>
      <c r="B4216" s="29"/>
      <c r="C4216" s="29"/>
      <c r="D4216" s="29"/>
      <c r="E4216" s="29"/>
      <c r="H4216" s="27"/>
      <c r="K4216"/>
      <c r="P4216" s="27"/>
      <c r="Q4216" s="27"/>
      <c r="R4216" s="27"/>
    </row>
    <row r="4217" spans="1:18">
      <c r="A4217" s="28"/>
      <c r="B4217" s="29"/>
      <c r="C4217" s="29"/>
      <c r="D4217" s="29"/>
      <c r="E4217" s="29"/>
      <c r="H4217" s="27"/>
      <c r="K4217"/>
      <c r="P4217" s="27"/>
      <c r="Q4217" s="27"/>
      <c r="R4217" s="27"/>
    </row>
    <row r="4218" spans="1:18">
      <c r="A4218" s="28"/>
      <c r="B4218" s="29"/>
      <c r="C4218" s="29"/>
      <c r="D4218" s="29"/>
      <c r="E4218" s="29"/>
      <c r="H4218" s="27"/>
      <c r="K4218"/>
      <c r="P4218" s="27"/>
      <c r="Q4218" s="27"/>
      <c r="R4218" s="27"/>
    </row>
    <row r="4219" spans="1:18">
      <c r="A4219" s="28"/>
      <c r="B4219" s="29"/>
      <c r="C4219" s="29"/>
      <c r="D4219" s="29"/>
      <c r="E4219" s="29"/>
      <c r="H4219" s="27"/>
      <c r="K4219"/>
      <c r="P4219" s="27"/>
      <c r="Q4219" s="27"/>
      <c r="R4219" s="27"/>
    </row>
    <row r="4220" spans="1:18">
      <c r="A4220" s="28"/>
      <c r="B4220" s="29"/>
      <c r="C4220" s="29"/>
      <c r="D4220" s="29"/>
      <c r="E4220" s="29"/>
      <c r="H4220" s="27"/>
      <c r="K4220"/>
      <c r="P4220" s="27"/>
      <c r="Q4220" s="27"/>
      <c r="R4220" s="27"/>
    </row>
    <row r="4221" spans="1:18">
      <c r="A4221" s="28"/>
      <c r="B4221" s="29"/>
      <c r="C4221" s="29"/>
      <c r="D4221" s="29"/>
      <c r="E4221" s="29"/>
      <c r="H4221" s="27"/>
      <c r="K4221"/>
      <c r="P4221" s="27"/>
      <c r="Q4221" s="27"/>
      <c r="R4221" s="27"/>
    </row>
    <row r="4222" spans="1:18">
      <c r="A4222" s="28"/>
      <c r="B4222" s="29"/>
      <c r="C4222" s="29"/>
      <c r="D4222" s="29"/>
      <c r="E4222" s="29"/>
      <c r="H4222" s="27"/>
      <c r="K4222"/>
      <c r="P4222" s="27"/>
      <c r="Q4222" s="27"/>
      <c r="R4222" s="27"/>
    </row>
    <row r="4223" spans="1:18">
      <c r="A4223" s="28"/>
      <c r="B4223" s="29"/>
      <c r="C4223" s="29"/>
      <c r="D4223" s="29"/>
      <c r="E4223" s="29"/>
      <c r="H4223" s="27"/>
      <c r="K4223"/>
      <c r="P4223" s="27"/>
      <c r="Q4223" s="27"/>
      <c r="R4223" s="27"/>
    </row>
    <row r="4224" spans="1:18">
      <c r="A4224" s="28"/>
      <c r="B4224" s="29"/>
      <c r="C4224" s="29"/>
      <c r="D4224" s="29"/>
      <c r="E4224" s="29"/>
      <c r="H4224" s="27"/>
      <c r="K4224"/>
      <c r="P4224" s="27"/>
      <c r="Q4224" s="27"/>
      <c r="R4224" s="27"/>
    </row>
    <row r="4225" spans="1:18">
      <c r="A4225" s="28"/>
      <c r="B4225" s="29"/>
      <c r="C4225" s="29"/>
      <c r="D4225" s="29"/>
      <c r="E4225" s="29"/>
      <c r="H4225" s="27"/>
      <c r="K4225"/>
      <c r="P4225" s="27"/>
      <c r="Q4225" s="27"/>
      <c r="R4225" s="27"/>
    </row>
    <row r="4226" spans="1:18">
      <c r="A4226" s="28"/>
      <c r="B4226" s="29"/>
      <c r="C4226" s="29"/>
      <c r="D4226" s="29"/>
      <c r="E4226" s="29"/>
      <c r="H4226" s="27"/>
      <c r="K4226"/>
      <c r="P4226" s="27"/>
      <c r="Q4226" s="27"/>
      <c r="R4226" s="27"/>
    </row>
    <row r="4227" spans="1:18">
      <c r="A4227" s="28"/>
      <c r="B4227" s="29"/>
      <c r="C4227" s="29"/>
      <c r="D4227" s="29"/>
      <c r="E4227" s="29"/>
      <c r="H4227" s="27"/>
      <c r="K4227"/>
      <c r="P4227" s="27"/>
      <c r="Q4227" s="27"/>
      <c r="R4227" s="27"/>
    </row>
    <row r="4228" spans="1:18">
      <c r="A4228" s="28"/>
      <c r="B4228" s="29"/>
      <c r="C4228" s="29"/>
      <c r="D4228" s="29"/>
      <c r="E4228" s="29"/>
      <c r="H4228" s="27"/>
      <c r="K4228"/>
      <c r="P4228" s="27"/>
      <c r="Q4228" s="27"/>
      <c r="R4228" s="27"/>
    </row>
    <row r="4229" spans="1:18">
      <c r="A4229" s="28"/>
      <c r="B4229" s="29"/>
      <c r="C4229" s="29"/>
      <c r="D4229" s="29"/>
      <c r="E4229" s="29"/>
      <c r="H4229" s="27"/>
      <c r="K4229"/>
      <c r="P4229" s="27"/>
      <c r="Q4229" s="27"/>
      <c r="R4229" s="27"/>
    </row>
    <row r="4230" spans="1:18">
      <c r="A4230" s="28"/>
      <c r="B4230" s="29"/>
      <c r="C4230" s="29"/>
      <c r="D4230" s="29"/>
      <c r="E4230" s="29"/>
      <c r="H4230" s="27"/>
      <c r="K4230"/>
      <c r="P4230" s="27"/>
      <c r="Q4230" s="27"/>
      <c r="R4230" s="27"/>
    </row>
    <row r="4231" spans="1:18">
      <c r="A4231" s="28"/>
      <c r="B4231" s="29"/>
      <c r="C4231" s="29"/>
      <c r="D4231" s="29"/>
      <c r="E4231" s="29"/>
      <c r="H4231" s="27"/>
      <c r="K4231"/>
      <c r="P4231" s="27"/>
      <c r="Q4231" s="27"/>
      <c r="R4231" s="27"/>
    </row>
    <row r="4232" spans="1:18">
      <c r="A4232" s="28"/>
      <c r="B4232" s="29"/>
      <c r="C4232" s="29"/>
      <c r="D4232" s="29"/>
      <c r="E4232" s="29"/>
      <c r="H4232" s="27"/>
      <c r="K4232"/>
      <c r="P4232" s="27"/>
      <c r="Q4232" s="27"/>
      <c r="R4232" s="27"/>
    </row>
    <row r="4233" spans="1:18">
      <c r="A4233" s="28"/>
      <c r="B4233" s="29"/>
      <c r="C4233" s="29"/>
      <c r="D4233" s="29"/>
      <c r="E4233" s="29"/>
      <c r="H4233" s="27"/>
      <c r="K4233"/>
      <c r="P4233" s="27"/>
      <c r="Q4233" s="27"/>
      <c r="R4233" s="27"/>
    </row>
    <row r="4234" spans="1:18">
      <c r="A4234" s="28"/>
      <c r="B4234" s="29"/>
      <c r="C4234" s="29"/>
      <c r="D4234" s="29"/>
      <c r="E4234" s="29"/>
      <c r="H4234" s="27"/>
      <c r="K4234"/>
      <c r="P4234" s="27"/>
      <c r="Q4234" s="27"/>
      <c r="R4234" s="27"/>
    </row>
    <row r="4235" spans="1:18">
      <c r="A4235" s="28"/>
      <c r="B4235" s="29"/>
      <c r="C4235" s="29"/>
      <c r="D4235" s="29"/>
      <c r="E4235" s="29"/>
      <c r="H4235" s="27"/>
      <c r="K4235"/>
      <c r="P4235" s="27"/>
      <c r="Q4235" s="27"/>
      <c r="R4235" s="27"/>
    </row>
    <row r="4236" spans="1:18">
      <c r="A4236" s="28"/>
      <c r="B4236" s="29"/>
      <c r="C4236" s="29"/>
      <c r="D4236" s="29"/>
      <c r="E4236" s="29"/>
      <c r="H4236" s="27"/>
      <c r="K4236"/>
      <c r="P4236" s="27"/>
      <c r="Q4236" s="27"/>
      <c r="R4236" s="27"/>
    </row>
    <row r="4237" spans="1:18">
      <c r="A4237" s="28"/>
      <c r="B4237" s="29"/>
      <c r="C4237" s="29"/>
      <c r="D4237" s="29"/>
      <c r="E4237" s="29"/>
      <c r="H4237" s="27"/>
      <c r="K4237"/>
      <c r="P4237" s="27"/>
      <c r="Q4237" s="27"/>
      <c r="R4237" s="27"/>
    </row>
    <row r="4238" spans="1:18">
      <c r="A4238" s="28"/>
      <c r="B4238" s="29"/>
      <c r="C4238" s="29"/>
      <c r="D4238" s="29"/>
      <c r="E4238" s="29"/>
      <c r="H4238" s="27"/>
      <c r="K4238"/>
      <c r="P4238" s="27"/>
      <c r="Q4238" s="27"/>
      <c r="R4238" s="27"/>
    </row>
    <row r="4239" spans="1:18">
      <c r="A4239" s="28"/>
      <c r="B4239" s="29"/>
      <c r="C4239" s="29"/>
      <c r="D4239" s="29"/>
      <c r="E4239" s="29"/>
      <c r="H4239" s="27"/>
      <c r="K4239"/>
      <c r="P4239" s="27"/>
      <c r="Q4239" s="27"/>
      <c r="R4239" s="27"/>
    </row>
    <row r="4240" spans="1:18">
      <c r="A4240" s="28"/>
      <c r="B4240" s="29"/>
      <c r="C4240" s="29"/>
      <c r="D4240" s="29"/>
      <c r="E4240" s="29"/>
      <c r="H4240" s="27"/>
      <c r="K4240"/>
      <c r="P4240" s="27"/>
      <c r="Q4240" s="27"/>
      <c r="R4240" s="27"/>
    </row>
    <row r="4241" spans="1:18">
      <c r="A4241" s="28"/>
      <c r="B4241" s="29"/>
      <c r="C4241" s="29"/>
      <c r="D4241" s="29"/>
      <c r="E4241" s="29"/>
      <c r="H4241" s="27"/>
      <c r="K4241"/>
      <c r="P4241" s="27"/>
      <c r="Q4241" s="27"/>
      <c r="R4241" s="27"/>
    </row>
    <row r="4242" spans="1:18">
      <c r="A4242" s="28"/>
      <c r="B4242" s="29"/>
      <c r="C4242" s="29"/>
      <c r="D4242" s="29"/>
      <c r="E4242" s="29"/>
      <c r="H4242" s="27"/>
      <c r="K4242"/>
      <c r="P4242" s="27"/>
      <c r="Q4242" s="27"/>
      <c r="R4242" s="27"/>
    </row>
    <row r="4243" spans="1:18">
      <c r="A4243" s="28"/>
      <c r="B4243" s="29"/>
      <c r="C4243" s="29"/>
      <c r="D4243" s="29"/>
      <c r="E4243" s="29"/>
      <c r="H4243" s="27"/>
      <c r="K4243"/>
      <c r="P4243" s="27"/>
      <c r="Q4243" s="27"/>
      <c r="R4243" s="27"/>
    </row>
    <row r="4244" spans="1:18">
      <c r="A4244" s="28"/>
      <c r="B4244" s="29"/>
      <c r="C4244" s="29"/>
      <c r="D4244" s="29"/>
      <c r="E4244" s="29"/>
      <c r="H4244" s="27"/>
      <c r="K4244"/>
      <c r="P4244" s="27"/>
      <c r="Q4244" s="27"/>
      <c r="R4244" s="27"/>
    </row>
    <row r="4245" spans="1:18">
      <c r="A4245" s="28"/>
      <c r="B4245" s="29"/>
      <c r="C4245" s="29"/>
      <c r="D4245" s="29"/>
      <c r="E4245" s="29"/>
      <c r="H4245" s="27"/>
      <c r="K4245"/>
      <c r="P4245" s="27"/>
      <c r="Q4245" s="27"/>
      <c r="R4245" s="27"/>
    </row>
    <row r="4246" spans="1:18">
      <c r="A4246" s="28"/>
      <c r="B4246" s="29"/>
      <c r="C4246" s="29"/>
      <c r="D4246" s="29"/>
      <c r="E4246" s="29"/>
      <c r="H4246" s="27"/>
      <c r="K4246"/>
      <c r="P4246" s="27"/>
      <c r="Q4246" s="27"/>
      <c r="R4246" s="27"/>
    </row>
    <row r="4247" spans="1:18">
      <c r="A4247" s="28"/>
      <c r="B4247" s="29"/>
      <c r="C4247" s="29"/>
      <c r="D4247" s="29"/>
      <c r="E4247" s="29"/>
      <c r="H4247" s="27"/>
      <c r="K4247"/>
      <c r="P4247" s="27"/>
      <c r="Q4247" s="27"/>
      <c r="R4247" s="27"/>
    </row>
    <row r="4248" spans="1:18">
      <c r="A4248" s="28"/>
      <c r="B4248" s="29"/>
      <c r="C4248" s="29"/>
      <c r="D4248" s="29"/>
      <c r="E4248" s="29"/>
      <c r="H4248" s="27"/>
      <c r="K4248"/>
      <c r="P4248" s="27"/>
      <c r="Q4248" s="27"/>
      <c r="R4248" s="27"/>
    </row>
    <row r="4249" spans="1:18">
      <c r="A4249" s="28"/>
      <c r="B4249" s="29"/>
      <c r="C4249" s="29"/>
      <c r="D4249" s="29"/>
      <c r="E4249" s="29"/>
      <c r="H4249" s="27"/>
      <c r="K4249"/>
      <c r="P4249" s="27"/>
      <c r="Q4249" s="27"/>
      <c r="R4249" s="27"/>
    </row>
    <row r="4250" spans="1:18">
      <c r="A4250" s="28"/>
      <c r="B4250" s="29"/>
      <c r="C4250" s="29"/>
      <c r="D4250" s="29"/>
      <c r="E4250" s="29"/>
      <c r="H4250" s="27"/>
      <c r="K4250"/>
      <c r="P4250" s="27"/>
      <c r="Q4250" s="27"/>
      <c r="R4250" s="27"/>
    </row>
    <row r="4251" spans="1:18">
      <c r="A4251" s="28"/>
      <c r="B4251" s="29"/>
      <c r="C4251" s="29"/>
      <c r="D4251" s="29"/>
      <c r="E4251" s="29"/>
      <c r="H4251" s="27"/>
      <c r="K4251"/>
      <c r="P4251" s="27"/>
      <c r="Q4251" s="27"/>
      <c r="R4251" s="27"/>
    </row>
    <row r="4252" spans="1:18">
      <c r="A4252" s="28"/>
      <c r="B4252" s="29"/>
      <c r="C4252" s="29"/>
      <c r="D4252" s="29"/>
      <c r="E4252" s="29"/>
      <c r="H4252" s="27"/>
      <c r="K4252"/>
      <c r="P4252" s="27"/>
      <c r="Q4252" s="27"/>
      <c r="R4252" s="27"/>
    </row>
    <row r="4253" spans="1:18">
      <c r="A4253" s="28"/>
      <c r="B4253" s="29"/>
      <c r="C4253" s="29"/>
      <c r="D4253" s="29"/>
      <c r="E4253" s="29"/>
      <c r="H4253" s="27"/>
      <c r="K4253"/>
      <c r="P4253" s="27"/>
      <c r="Q4253" s="27"/>
      <c r="R4253" s="27"/>
    </row>
    <row r="4254" spans="1:18">
      <c r="A4254" s="28"/>
      <c r="B4254" s="29"/>
      <c r="C4254" s="29"/>
      <c r="D4254" s="29"/>
      <c r="E4254" s="29"/>
      <c r="H4254" s="27"/>
      <c r="K4254"/>
      <c r="P4254" s="27"/>
      <c r="Q4254" s="27"/>
      <c r="R4254" s="27"/>
    </row>
    <row r="4255" spans="1:18">
      <c r="A4255" s="28"/>
      <c r="B4255" s="29"/>
      <c r="C4255" s="29"/>
      <c r="D4255" s="29"/>
      <c r="E4255" s="29"/>
      <c r="H4255" s="27"/>
      <c r="K4255"/>
      <c r="P4255" s="27"/>
      <c r="Q4255" s="27"/>
      <c r="R4255" s="27"/>
    </row>
    <row r="4256" spans="1:18">
      <c r="A4256" s="28"/>
      <c r="B4256" s="29"/>
      <c r="C4256" s="29"/>
      <c r="D4256" s="29"/>
      <c r="E4256" s="29"/>
      <c r="H4256" s="27"/>
      <c r="K4256"/>
      <c r="P4256" s="27"/>
      <c r="Q4256" s="27"/>
      <c r="R4256" s="27"/>
    </row>
    <row r="4257" spans="1:18">
      <c r="A4257" s="28"/>
      <c r="B4257" s="29"/>
      <c r="C4257" s="29"/>
      <c r="D4257" s="29"/>
      <c r="E4257" s="29"/>
      <c r="H4257" s="27"/>
      <c r="K4257"/>
      <c r="P4257" s="27"/>
      <c r="Q4257" s="27"/>
      <c r="R4257" s="27"/>
    </row>
    <row r="4258" spans="1:18">
      <c r="A4258" s="28"/>
      <c r="B4258" s="29"/>
      <c r="C4258" s="29"/>
      <c r="D4258" s="29"/>
      <c r="E4258" s="29"/>
      <c r="H4258" s="27"/>
      <c r="K4258"/>
      <c r="P4258" s="27"/>
      <c r="Q4258" s="27"/>
      <c r="R4258" s="27"/>
    </row>
    <row r="4259" spans="1:18">
      <c r="A4259" s="28"/>
      <c r="B4259" s="29"/>
      <c r="C4259" s="29"/>
      <c r="D4259" s="29"/>
      <c r="E4259" s="29"/>
      <c r="H4259" s="27"/>
      <c r="K4259"/>
      <c r="P4259" s="27"/>
      <c r="Q4259" s="27"/>
      <c r="R4259" s="27"/>
    </row>
    <row r="4260" spans="1:18">
      <c r="A4260" s="28"/>
      <c r="B4260" s="29"/>
      <c r="C4260" s="29"/>
      <c r="D4260" s="29"/>
      <c r="E4260" s="29"/>
      <c r="H4260" s="27"/>
      <c r="K4260"/>
      <c r="P4260" s="27"/>
      <c r="Q4260" s="27"/>
      <c r="R4260" s="27"/>
    </row>
    <row r="4261" spans="1:18">
      <c r="A4261" s="28"/>
      <c r="B4261" s="29"/>
      <c r="C4261" s="29"/>
      <c r="D4261" s="29"/>
      <c r="E4261" s="29"/>
      <c r="H4261" s="27"/>
      <c r="K4261"/>
      <c r="P4261" s="27"/>
      <c r="Q4261" s="27"/>
      <c r="R4261" s="27"/>
    </row>
    <row r="4262" spans="1:18">
      <c r="A4262" s="28"/>
      <c r="B4262" s="29"/>
      <c r="C4262" s="29"/>
      <c r="D4262" s="29"/>
      <c r="E4262" s="29"/>
      <c r="H4262" s="27"/>
      <c r="K4262"/>
      <c r="P4262" s="27"/>
      <c r="Q4262" s="27"/>
      <c r="R4262" s="27"/>
    </row>
    <row r="4263" spans="1:18">
      <c r="A4263" s="28"/>
      <c r="B4263" s="29"/>
      <c r="C4263" s="29"/>
      <c r="D4263" s="29"/>
      <c r="E4263" s="29"/>
      <c r="H4263" s="27"/>
      <c r="K4263"/>
      <c r="P4263" s="27"/>
      <c r="Q4263" s="27"/>
      <c r="R4263" s="27"/>
    </row>
    <row r="4264" spans="1:18">
      <c r="A4264" s="28"/>
      <c r="B4264" s="29"/>
      <c r="C4264" s="29"/>
      <c r="D4264" s="29"/>
      <c r="E4264" s="29"/>
      <c r="H4264" s="27"/>
      <c r="K4264"/>
      <c r="P4264" s="27"/>
      <c r="Q4264" s="27"/>
      <c r="R4264" s="27"/>
    </row>
    <row r="4265" spans="1:18">
      <c r="A4265" s="28"/>
      <c r="B4265" s="29"/>
      <c r="C4265" s="29"/>
      <c r="D4265" s="29"/>
      <c r="E4265" s="29"/>
      <c r="H4265" s="27"/>
      <c r="K4265"/>
      <c r="P4265" s="27"/>
      <c r="Q4265" s="27"/>
      <c r="R4265" s="27"/>
    </row>
    <row r="4266" spans="1:18">
      <c r="A4266" s="28"/>
      <c r="B4266" s="29"/>
      <c r="C4266" s="29"/>
      <c r="D4266" s="29"/>
      <c r="E4266" s="29"/>
      <c r="H4266" s="27"/>
      <c r="K4266"/>
      <c r="P4266" s="27"/>
      <c r="Q4266" s="27"/>
      <c r="R4266" s="27"/>
    </row>
    <row r="4267" spans="1:18">
      <c r="A4267" s="28"/>
      <c r="B4267" s="29"/>
      <c r="C4267" s="29"/>
      <c r="D4267" s="29"/>
      <c r="E4267" s="29"/>
      <c r="H4267" s="27"/>
      <c r="K4267"/>
      <c r="P4267" s="27"/>
      <c r="Q4267" s="27"/>
      <c r="R4267" s="27"/>
    </row>
    <row r="4268" spans="1:18">
      <c r="A4268" s="28"/>
      <c r="B4268" s="29"/>
      <c r="C4268" s="29"/>
      <c r="D4268" s="29"/>
      <c r="E4268" s="29"/>
      <c r="H4268" s="27"/>
      <c r="K4268"/>
      <c r="P4268" s="27"/>
      <c r="Q4268" s="27"/>
      <c r="R4268" s="27"/>
    </row>
    <row r="4269" spans="1:18">
      <c r="A4269" s="28"/>
      <c r="B4269" s="29"/>
      <c r="C4269" s="29"/>
      <c r="D4269" s="29"/>
      <c r="E4269" s="29"/>
      <c r="H4269" s="27"/>
      <c r="K4269"/>
      <c r="P4269" s="27"/>
      <c r="Q4269" s="27"/>
      <c r="R4269" s="27"/>
    </row>
    <row r="4270" spans="1:18">
      <c r="A4270" s="28"/>
      <c r="B4270" s="29"/>
      <c r="C4270" s="29"/>
      <c r="D4270" s="29"/>
      <c r="E4270" s="29"/>
      <c r="H4270" s="27"/>
      <c r="K4270"/>
      <c r="P4270" s="27"/>
      <c r="Q4270" s="27"/>
      <c r="R4270" s="27"/>
    </row>
    <row r="4271" spans="1:18">
      <c r="A4271" s="28"/>
      <c r="B4271" s="29"/>
      <c r="C4271" s="29"/>
      <c r="D4271" s="29"/>
      <c r="E4271" s="29"/>
      <c r="H4271" s="27"/>
      <c r="K4271"/>
      <c r="P4271" s="27"/>
      <c r="Q4271" s="27"/>
      <c r="R4271" s="27"/>
    </row>
    <row r="4272" spans="1:18">
      <c r="A4272" s="28"/>
      <c r="B4272" s="29"/>
      <c r="C4272" s="29"/>
      <c r="D4272" s="29"/>
      <c r="E4272" s="29"/>
      <c r="H4272" s="27"/>
      <c r="K4272"/>
      <c r="P4272" s="27"/>
      <c r="Q4272" s="27"/>
      <c r="R4272" s="27"/>
    </row>
    <row r="4273" spans="1:18">
      <c r="A4273" s="28"/>
      <c r="B4273" s="29"/>
      <c r="C4273" s="29"/>
      <c r="D4273" s="29"/>
      <c r="E4273" s="29"/>
      <c r="H4273" s="27"/>
      <c r="K4273"/>
      <c r="P4273" s="27"/>
      <c r="Q4273" s="27"/>
      <c r="R4273" s="27"/>
    </row>
    <row r="4274" spans="1:18">
      <c r="A4274" s="28"/>
      <c r="B4274" s="29"/>
      <c r="C4274" s="29"/>
      <c r="D4274" s="29"/>
      <c r="E4274" s="29"/>
      <c r="H4274" s="27"/>
      <c r="K4274"/>
      <c r="P4274" s="27"/>
      <c r="Q4274" s="27"/>
      <c r="R4274" s="27"/>
    </row>
    <row r="4275" spans="1:18">
      <c r="A4275" s="28"/>
      <c r="B4275" s="29"/>
      <c r="C4275" s="29"/>
      <c r="D4275" s="29"/>
      <c r="E4275" s="29"/>
      <c r="H4275" s="27"/>
      <c r="K4275"/>
      <c r="P4275" s="27"/>
      <c r="Q4275" s="27"/>
      <c r="R4275" s="27"/>
    </row>
    <row r="4276" spans="1:18">
      <c r="A4276" s="28"/>
      <c r="B4276" s="29"/>
      <c r="C4276" s="29"/>
      <c r="D4276" s="29"/>
      <c r="E4276" s="29"/>
      <c r="H4276" s="27"/>
      <c r="K4276"/>
      <c r="P4276" s="27"/>
      <c r="Q4276" s="27"/>
      <c r="R4276" s="27"/>
    </row>
    <row r="4277" spans="1:18">
      <c r="A4277" s="28"/>
      <c r="B4277" s="29"/>
      <c r="C4277" s="29"/>
      <c r="D4277" s="29"/>
      <c r="E4277" s="29"/>
      <c r="H4277" s="27"/>
      <c r="K4277"/>
      <c r="P4277" s="27"/>
      <c r="Q4277" s="27"/>
      <c r="R4277" s="27"/>
    </row>
    <row r="4278" spans="1:18">
      <c r="A4278" s="28"/>
      <c r="B4278" s="29"/>
      <c r="C4278" s="29"/>
      <c r="D4278" s="29"/>
      <c r="E4278" s="29"/>
      <c r="H4278" s="27"/>
      <c r="K4278"/>
      <c r="P4278" s="27"/>
      <c r="Q4278" s="27"/>
      <c r="R4278" s="27"/>
    </row>
    <row r="4279" spans="1:18">
      <c r="A4279" s="28"/>
      <c r="B4279" s="29"/>
      <c r="C4279" s="29"/>
      <c r="D4279" s="29"/>
      <c r="E4279" s="29"/>
      <c r="H4279" s="27"/>
      <c r="K4279"/>
      <c r="P4279" s="27"/>
      <c r="Q4279" s="27"/>
      <c r="R4279" s="27"/>
    </row>
    <row r="4280" spans="1:18">
      <c r="A4280" s="28"/>
      <c r="B4280" s="29"/>
      <c r="C4280" s="29"/>
      <c r="D4280" s="29"/>
      <c r="E4280" s="29"/>
      <c r="H4280" s="27"/>
      <c r="K4280"/>
      <c r="P4280" s="27"/>
      <c r="Q4280" s="27"/>
      <c r="R4280" s="27"/>
    </row>
    <row r="4281" spans="1:18">
      <c r="A4281" s="28"/>
      <c r="B4281" s="29"/>
      <c r="C4281" s="29"/>
      <c r="D4281" s="29"/>
      <c r="E4281" s="29"/>
      <c r="H4281" s="27"/>
      <c r="K4281"/>
      <c r="P4281" s="27"/>
      <c r="Q4281" s="27"/>
      <c r="R4281" s="27"/>
    </row>
    <row r="4282" spans="1:18">
      <c r="A4282" s="28"/>
      <c r="B4282" s="29"/>
      <c r="C4282" s="29"/>
      <c r="D4282" s="29"/>
      <c r="E4282" s="29"/>
      <c r="H4282" s="27"/>
      <c r="K4282"/>
      <c r="P4282" s="27"/>
      <c r="Q4282" s="27"/>
      <c r="R4282" s="27"/>
    </row>
    <row r="4283" spans="1:18">
      <c r="A4283" s="28"/>
      <c r="B4283" s="29"/>
      <c r="C4283" s="29"/>
      <c r="D4283" s="29"/>
      <c r="E4283" s="29"/>
      <c r="H4283" s="27"/>
      <c r="K4283"/>
      <c r="P4283" s="27"/>
      <c r="Q4283" s="27"/>
      <c r="R4283" s="27"/>
    </row>
    <row r="4284" spans="1:18">
      <c r="A4284" s="28"/>
      <c r="B4284" s="29"/>
      <c r="C4284" s="29"/>
      <c r="D4284" s="29"/>
      <c r="E4284" s="29"/>
      <c r="H4284" s="27"/>
      <c r="K4284"/>
      <c r="P4284" s="27"/>
      <c r="Q4284" s="27"/>
      <c r="R4284" s="27"/>
    </row>
    <row r="4285" spans="1:18">
      <c r="A4285" s="28"/>
      <c r="B4285" s="29"/>
      <c r="C4285" s="29"/>
      <c r="D4285" s="29"/>
      <c r="E4285" s="29"/>
      <c r="H4285" s="27"/>
      <c r="K4285"/>
      <c r="P4285" s="27"/>
      <c r="Q4285" s="27"/>
      <c r="R4285" s="27"/>
    </row>
    <row r="4286" spans="1:18">
      <c r="A4286" s="28"/>
      <c r="B4286" s="29"/>
      <c r="C4286" s="29"/>
      <c r="D4286" s="29"/>
      <c r="E4286" s="29"/>
      <c r="H4286" s="27"/>
      <c r="K4286"/>
      <c r="P4286" s="27"/>
      <c r="Q4286" s="27"/>
      <c r="R4286" s="27"/>
    </row>
    <row r="4287" spans="1:18">
      <c r="A4287" s="28"/>
      <c r="B4287" s="29"/>
      <c r="C4287" s="29"/>
      <c r="D4287" s="29"/>
      <c r="E4287" s="29"/>
      <c r="H4287" s="27"/>
      <c r="K4287"/>
      <c r="P4287" s="27"/>
      <c r="Q4287" s="27"/>
      <c r="R4287" s="27"/>
    </row>
    <row r="4288" spans="1:18">
      <c r="A4288" s="28"/>
      <c r="B4288" s="29"/>
      <c r="C4288" s="29"/>
      <c r="D4288" s="29"/>
      <c r="E4288" s="29"/>
      <c r="H4288" s="27"/>
      <c r="K4288"/>
      <c r="P4288" s="27"/>
      <c r="Q4288" s="27"/>
      <c r="R4288" s="27"/>
    </row>
    <row r="4289" spans="1:18">
      <c r="A4289" s="28"/>
      <c r="B4289" s="29"/>
      <c r="C4289" s="29"/>
      <c r="D4289" s="29"/>
      <c r="E4289" s="29"/>
      <c r="H4289" s="27"/>
      <c r="K4289"/>
      <c r="P4289" s="27"/>
      <c r="Q4289" s="27"/>
      <c r="R4289" s="27"/>
    </row>
    <row r="4290" spans="1:18">
      <c r="A4290" s="28"/>
      <c r="B4290" s="29"/>
      <c r="C4290" s="29"/>
      <c r="D4290" s="29"/>
      <c r="E4290" s="29"/>
      <c r="H4290" s="27"/>
      <c r="K4290"/>
      <c r="P4290" s="27"/>
      <c r="Q4290" s="27"/>
      <c r="R4290" s="27"/>
    </row>
    <row r="4291" spans="1:18">
      <c r="A4291" s="28"/>
      <c r="B4291" s="29"/>
      <c r="C4291" s="29"/>
      <c r="D4291" s="29"/>
      <c r="E4291" s="29"/>
      <c r="H4291" s="27"/>
      <c r="K4291"/>
      <c r="P4291" s="27"/>
      <c r="Q4291" s="27"/>
      <c r="R4291" s="27"/>
    </row>
    <row r="4292" spans="1:18">
      <c r="A4292" s="28"/>
      <c r="B4292" s="29"/>
      <c r="C4292" s="29"/>
      <c r="D4292" s="29"/>
      <c r="E4292" s="29"/>
      <c r="H4292" s="27"/>
      <c r="K4292"/>
      <c r="P4292" s="27"/>
      <c r="Q4292" s="27"/>
      <c r="R4292" s="27"/>
    </row>
    <row r="4293" spans="1:18">
      <c r="A4293" s="28"/>
      <c r="B4293" s="29"/>
      <c r="C4293" s="29"/>
      <c r="D4293" s="29"/>
      <c r="E4293" s="29"/>
      <c r="H4293" s="27"/>
      <c r="K4293"/>
      <c r="P4293" s="27"/>
      <c r="Q4293" s="27"/>
      <c r="R4293" s="27"/>
    </row>
    <row r="4294" spans="1:18">
      <c r="A4294" s="28"/>
      <c r="B4294" s="29"/>
      <c r="C4294" s="29"/>
      <c r="D4294" s="29"/>
      <c r="E4294" s="29"/>
      <c r="H4294" s="27"/>
      <c r="K4294"/>
      <c r="P4294" s="27"/>
      <c r="Q4294" s="27"/>
      <c r="R4294" s="27"/>
    </row>
    <row r="4295" spans="1:18">
      <c r="A4295" s="28"/>
      <c r="B4295" s="29"/>
      <c r="C4295" s="29"/>
      <c r="D4295" s="29"/>
      <c r="E4295" s="29"/>
      <c r="H4295" s="27"/>
      <c r="K4295"/>
      <c r="P4295" s="27"/>
      <c r="Q4295" s="27"/>
      <c r="R4295" s="27"/>
    </row>
    <row r="4296" spans="1:18">
      <c r="A4296" s="28"/>
      <c r="B4296" s="29"/>
      <c r="C4296" s="29"/>
      <c r="D4296" s="29"/>
      <c r="E4296" s="29"/>
      <c r="H4296" s="27"/>
      <c r="K4296"/>
      <c r="P4296" s="27"/>
      <c r="Q4296" s="27"/>
      <c r="R4296" s="27"/>
    </row>
    <row r="4297" spans="1:18">
      <c r="A4297" s="28"/>
      <c r="B4297" s="29"/>
      <c r="C4297" s="29"/>
      <c r="D4297" s="29"/>
      <c r="E4297" s="29"/>
      <c r="H4297" s="27"/>
      <c r="K4297"/>
      <c r="P4297" s="27"/>
      <c r="Q4297" s="27"/>
      <c r="R4297" s="27"/>
    </row>
    <row r="4298" spans="1:18">
      <c r="A4298" s="28"/>
      <c r="B4298" s="29"/>
      <c r="C4298" s="29"/>
      <c r="D4298" s="29"/>
      <c r="E4298" s="29"/>
      <c r="H4298" s="27"/>
      <c r="K4298"/>
      <c r="P4298" s="27"/>
      <c r="Q4298" s="27"/>
      <c r="R4298" s="27"/>
    </row>
    <row r="4299" spans="1:18">
      <c r="A4299" s="28"/>
      <c r="B4299" s="29"/>
      <c r="C4299" s="29"/>
      <c r="D4299" s="29"/>
      <c r="E4299" s="29"/>
      <c r="H4299" s="27"/>
      <c r="K4299"/>
      <c r="P4299" s="27"/>
      <c r="Q4299" s="27"/>
      <c r="R4299" s="27"/>
    </row>
    <row r="4300" spans="1:18">
      <c r="A4300" s="28"/>
      <c r="B4300" s="29"/>
      <c r="C4300" s="29"/>
      <c r="D4300" s="29"/>
      <c r="E4300" s="29"/>
      <c r="H4300" s="27"/>
      <c r="K4300"/>
      <c r="P4300" s="27"/>
      <c r="Q4300" s="27"/>
      <c r="R4300" s="27"/>
    </row>
    <row r="4301" spans="1:18">
      <c r="A4301" s="28"/>
      <c r="B4301" s="29"/>
      <c r="C4301" s="29"/>
      <c r="D4301" s="29"/>
      <c r="E4301" s="29"/>
      <c r="H4301" s="27"/>
      <c r="K4301"/>
      <c r="P4301" s="27"/>
      <c r="Q4301" s="27"/>
      <c r="R4301" s="27"/>
    </row>
    <row r="4302" spans="1:18">
      <c r="A4302" s="28"/>
      <c r="B4302" s="29"/>
      <c r="C4302" s="29"/>
      <c r="D4302" s="29"/>
      <c r="E4302" s="29"/>
      <c r="H4302" s="27"/>
      <c r="K4302"/>
      <c r="P4302" s="27"/>
      <c r="Q4302" s="27"/>
      <c r="R4302" s="27"/>
    </row>
    <row r="4303" spans="1:18">
      <c r="A4303" s="28"/>
      <c r="B4303" s="29"/>
      <c r="C4303" s="29"/>
      <c r="D4303" s="29"/>
      <c r="E4303" s="29"/>
      <c r="H4303" s="27"/>
      <c r="K4303"/>
      <c r="P4303" s="27"/>
      <c r="Q4303" s="27"/>
      <c r="R4303" s="27"/>
    </row>
    <row r="4304" spans="1:18">
      <c r="A4304" s="28"/>
      <c r="B4304" s="29"/>
      <c r="C4304" s="29"/>
      <c r="D4304" s="29"/>
      <c r="E4304" s="29"/>
      <c r="H4304" s="27"/>
      <c r="K4304"/>
      <c r="P4304" s="27"/>
      <c r="Q4304" s="27"/>
      <c r="R4304" s="27"/>
    </row>
    <row r="4305" spans="1:18">
      <c r="A4305" s="28"/>
      <c r="B4305" s="29"/>
      <c r="C4305" s="29"/>
      <c r="D4305" s="29"/>
      <c r="E4305" s="29"/>
      <c r="H4305" s="27"/>
      <c r="K4305"/>
      <c r="P4305" s="27"/>
      <c r="Q4305" s="27"/>
      <c r="R4305" s="27"/>
    </row>
    <row r="4306" spans="1:18">
      <c r="A4306" s="28"/>
      <c r="B4306" s="29"/>
      <c r="C4306" s="29"/>
      <c r="D4306" s="29"/>
      <c r="E4306" s="29"/>
      <c r="H4306" s="27"/>
      <c r="K4306"/>
      <c r="P4306" s="27"/>
      <c r="Q4306" s="27"/>
      <c r="R4306" s="27"/>
    </row>
    <row r="4307" spans="1:18">
      <c r="A4307" s="28"/>
      <c r="B4307" s="29"/>
      <c r="C4307" s="29"/>
      <c r="D4307" s="29"/>
      <c r="E4307" s="29"/>
      <c r="H4307" s="27"/>
      <c r="K4307"/>
      <c r="P4307" s="27"/>
      <c r="Q4307" s="27"/>
      <c r="R4307" s="27"/>
    </row>
    <row r="4308" spans="1:18">
      <c r="A4308" s="28"/>
      <c r="B4308" s="29"/>
      <c r="C4308" s="29"/>
      <c r="D4308" s="29"/>
      <c r="E4308" s="29"/>
      <c r="H4308" s="27"/>
      <c r="K4308"/>
      <c r="P4308" s="27"/>
      <c r="Q4308" s="27"/>
      <c r="R4308" s="27"/>
    </row>
    <row r="4309" spans="1:18">
      <c r="A4309" s="28"/>
      <c r="B4309" s="29"/>
      <c r="C4309" s="29"/>
      <c r="D4309" s="29"/>
      <c r="E4309" s="29"/>
      <c r="H4309" s="27"/>
      <c r="K4309"/>
      <c r="P4309" s="27"/>
      <c r="Q4309" s="27"/>
      <c r="R4309" s="27"/>
    </row>
    <row r="4310" spans="1:18">
      <c r="A4310" s="28"/>
      <c r="B4310" s="29"/>
      <c r="C4310" s="29"/>
      <c r="D4310" s="29"/>
      <c r="E4310" s="29"/>
      <c r="H4310" s="27"/>
      <c r="K4310"/>
      <c r="P4310" s="27"/>
      <c r="Q4310" s="27"/>
      <c r="R4310" s="27"/>
    </row>
    <row r="4311" spans="1:18">
      <c r="A4311" s="28"/>
      <c r="B4311" s="29"/>
      <c r="C4311" s="29"/>
      <c r="D4311" s="29"/>
      <c r="E4311" s="29"/>
      <c r="H4311" s="27"/>
      <c r="K4311"/>
      <c r="P4311" s="27"/>
      <c r="Q4311" s="27"/>
      <c r="R4311" s="27"/>
    </row>
    <row r="4312" spans="1:18">
      <c r="A4312" s="28"/>
      <c r="B4312" s="29"/>
      <c r="C4312" s="29"/>
      <c r="D4312" s="29"/>
      <c r="E4312" s="29"/>
      <c r="H4312" s="27"/>
      <c r="K4312"/>
      <c r="P4312" s="27"/>
      <c r="Q4312" s="27"/>
      <c r="R4312" s="27"/>
    </row>
    <row r="4313" spans="1:18">
      <c r="A4313" s="28"/>
      <c r="B4313" s="29"/>
      <c r="C4313" s="29"/>
      <c r="D4313" s="29"/>
      <c r="E4313" s="29"/>
      <c r="H4313" s="27"/>
      <c r="K4313"/>
      <c r="P4313" s="27"/>
      <c r="Q4313" s="27"/>
      <c r="R4313" s="27"/>
    </row>
    <row r="4314" spans="1:18">
      <c r="A4314" s="28"/>
      <c r="B4314" s="29"/>
      <c r="C4314" s="29"/>
      <c r="D4314" s="29"/>
      <c r="E4314" s="29"/>
      <c r="H4314" s="27"/>
      <c r="K4314"/>
      <c r="P4314" s="27"/>
      <c r="Q4314" s="27"/>
      <c r="R4314" s="27"/>
    </row>
    <row r="4315" spans="1:18">
      <c r="A4315" s="28"/>
      <c r="B4315" s="29"/>
      <c r="C4315" s="29"/>
      <c r="D4315" s="29"/>
      <c r="E4315" s="29"/>
      <c r="H4315" s="27"/>
      <c r="K4315"/>
      <c r="P4315" s="27"/>
      <c r="Q4315" s="27"/>
      <c r="R4315" s="27"/>
    </row>
    <row r="4316" spans="1:18">
      <c r="A4316" s="28"/>
      <c r="B4316" s="29"/>
      <c r="C4316" s="29"/>
      <c r="D4316" s="29"/>
      <c r="E4316" s="29"/>
      <c r="H4316" s="27"/>
      <c r="K4316"/>
      <c r="P4316" s="27"/>
      <c r="Q4316" s="27"/>
      <c r="R4316" s="27"/>
    </row>
    <row r="4317" spans="1:18">
      <c r="A4317" s="28"/>
      <c r="B4317" s="29"/>
      <c r="C4317" s="29"/>
      <c r="D4317" s="29"/>
      <c r="E4317" s="29"/>
      <c r="H4317" s="27"/>
      <c r="K4317"/>
      <c r="P4317" s="27"/>
      <c r="Q4317" s="27"/>
      <c r="R4317" s="27"/>
    </row>
    <row r="4318" spans="1:18">
      <c r="A4318" s="28"/>
      <c r="B4318" s="29"/>
      <c r="C4318" s="29"/>
      <c r="D4318" s="29"/>
      <c r="E4318" s="29"/>
      <c r="H4318" s="27"/>
      <c r="K4318"/>
      <c r="P4318" s="27"/>
      <c r="Q4318" s="27"/>
      <c r="R4318" s="27"/>
    </row>
    <row r="4319" spans="1:18">
      <c r="A4319" s="28"/>
      <c r="B4319" s="29"/>
      <c r="C4319" s="29"/>
      <c r="D4319" s="29"/>
      <c r="E4319" s="29"/>
      <c r="H4319" s="27"/>
      <c r="K4319"/>
      <c r="P4319" s="27"/>
      <c r="Q4319" s="27"/>
      <c r="R4319" s="27"/>
    </row>
    <row r="4320" spans="1:18">
      <c r="A4320" s="28"/>
      <c r="B4320" s="29"/>
      <c r="C4320" s="29"/>
      <c r="D4320" s="29"/>
      <c r="E4320" s="29"/>
      <c r="H4320" s="27"/>
      <c r="K4320"/>
      <c r="P4320" s="27"/>
      <c r="Q4320" s="27"/>
      <c r="R4320" s="27"/>
    </row>
    <row r="4321" spans="1:18">
      <c r="A4321" s="28"/>
      <c r="B4321" s="29"/>
      <c r="C4321" s="29"/>
      <c r="D4321" s="29"/>
      <c r="E4321" s="29"/>
      <c r="H4321" s="27"/>
      <c r="K4321"/>
      <c r="P4321" s="27"/>
      <c r="Q4321" s="27"/>
      <c r="R4321" s="27"/>
    </row>
    <row r="4322" spans="1:18">
      <c r="A4322" s="28"/>
      <c r="B4322" s="29"/>
      <c r="C4322" s="29"/>
      <c r="D4322" s="29"/>
      <c r="E4322" s="29"/>
      <c r="H4322" s="27"/>
      <c r="K4322"/>
      <c r="P4322" s="27"/>
      <c r="Q4322" s="27"/>
      <c r="R4322" s="27"/>
    </row>
    <row r="4323" spans="1:18">
      <c r="A4323" s="28"/>
      <c r="B4323" s="29"/>
      <c r="C4323" s="29"/>
      <c r="D4323" s="29"/>
      <c r="E4323" s="29"/>
      <c r="H4323" s="27"/>
      <c r="K4323"/>
      <c r="P4323" s="27"/>
      <c r="Q4323" s="27"/>
      <c r="R4323" s="27"/>
    </row>
    <row r="4324" spans="1:18">
      <c r="A4324" s="28"/>
      <c r="B4324" s="29"/>
      <c r="C4324" s="29"/>
      <c r="D4324" s="29"/>
      <c r="E4324" s="29"/>
      <c r="H4324" s="27"/>
      <c r="K4324"/>
      <c r="P4324" s="27"/>
      <c r="Q4324" s="27"/>
      <c r="R4324" s="27"/>
    </row>
    <row r="4325" spans="1:18">
      <c r="A4325" s="28"/>
      <c r="B4325" s="29"/>
      <c r="C4325" s="29"/>
      <c r="D4325" s="29"/>
      <c r="E4325" s="29"/>
      <c r="H4325" s="27"/>
      <c r="K4325"/>
      <c r="P4325" s="27"/>
      <c r="Q4325" s="27"/>
      <c r="R4325" s="27"/>
    </row>
    <row r="4326" spans="1:18">
      <c r="A4326" s="28"/>
      <c r="B4326" s="29"/>
      <c r="C4326" s="29"/>
      <c r="D4326" s="29"/>
      <c r="E4326" s="29"/>
      <c r="H4326" s="27"/>
      <c r="K4326"/>
      <c r="P4326" s="27"/>
      <c r="Q4326" s="27"/>
      <c r="R4326" s="27"/>
    </row>
    <row r="4327" spans="1:18">
      <c r="A4327" s="28"/>
      <c r="B4327" s="29"/>
      <c r="C4327" s="29"/>
      <c r="D4327" s="29"/>
      <c r="E4327" s="29"/>
      <c r="H4327" s="27"/>
      <c r="K4327"/>
      <c r="P4327" s="27"/>
      <c r="Q4327" s="27"/>
      <c r="R4327" s="27"/>
    </row>
    <row r="4328" spans="1:18">
      <c r="A4328" s="28"/>
      <c r="B4328" s="29"/>
      <c r="C4328" s="29"/>
      <c r="D4328" s="29"/>
      <c r="E4328" s="29"/>
      <c r="H4328" s="27"/>
      <c r="K4328"/>
      <c r="P4328" s="27"/>
      <c r="Q4328" s="27"/>
      <c r="R4328" s="27"/>
    </row>
    <row r="4329" spans="1:18">
      <c r="A4329" s="28"/>
      <c r="B4329" s="29"/>
      <c r="C4329" s="29"/>
      <c r="D4329" s="29"/>
      <c r="E4329" s="29"/>
      <c r="H4329" s="27"/>
      <c r="K4329"/>
      <c r="P4329" s="27"/>
      <c r="Q4329" s="27"/>
      <c r="R4329" s="27"/>
    </row>
    <row r="4330" spans="1:18">
      <c r="A4330" s="28"/>
      <c r="B4330" s="29"/>
      <c r="C4330" s="29"/>
      <c r="D4330" s="29"/>
      <c r="E4330" s="29"/>
      <c r="H4330" s="27"/>
      <c r="K4330"/>
      <c r="P4330" s="27"/>
      <c r="Q4330" s="27"/>
      <c r="R4330" s="27"/>
    </row>
    <row r="4331" spans="1:18">
      <c r="A4331" s="28"/>
      <c r="B4331" s="29"/>
      <c r="C4331" s="29"/>
      <c r="D4331" s="29"/>
      <c r="E4331" s="29"/>
      <c r="H4331" s="27"/>
      <c r="K4331"/>
      <c r="P4331" s="27"/>
      <c r="Q4331" s="27"/>
      <c r="R4331" s="27"/>
    </row>
    <row r="4332" spans="1:18">
      <c r="A4332" s="28"/>
      <c r="B4332" s="29"/>
      <c r="C4332" s="29"/>
      <c r="D4332" s="29"/>
      <c r="E4332" s="29"/>
      <c r="H4332" s="27"/>
      <c r="K4332"/>
      <c r="P4332" s="27"/>
      <c r="Q4332" s="27"/>
      <c r="R4332" s="27"/>
    </row>
    <row r="4333" spans="1:18">
      <c r="A4333" s="28"/>
      <c r="B4333" s="29"/>
      <c r="C4333" s="29"/>
      <c r="D4333" s="29"/>
      <c r="E4333" s="29"/>
      <c r="H4333" s="27"/>
      <c r="K4333"/>
      <c r="P4333" s="27"/>
      <c r="Q4333" s="27"/>
      <c r="R4333" s="27"/>
    </row>
    <row r="4334" spans="1:18">
      <c r="A4334" s="28"/>
      <c r="B4334" s="29"/>
      <c r="C4334" s="29"/>
      <c r="D4334" s="29"/>
      <c r="E4334" s="29"/>
      <c r="H4334" s="27"/>
      <c r="K4334"/>
      <c r="P4334" s="27"/>
      <c r="Q4334" s="27"/>
      <c r="R4334" s="27"/>
    </row>
    <row r="4335" spans="1:18">
      <c r="A4335" s="28"/>
      <c r="B4335" s="29"/>
      <c r="C4335" s="29"/>
      <c r="D4335" s="29"/>
      <c r="E4335" s="29"/>
      <c r="H4335" s="27"/>
      <c r="K4335"/>
      <c r="P4335" s="27"/>
      <c r="Q4335" s="27"/>
      <c r="R4335" s="27"/>
    </row>
    <row r="4336" spans="1:18">
      <c r="A4336" s="28"/>
      <c r="B4336" s="29"/>
      <c r="C4336" s="29"/>
      <c r="D4336" s="29"/>
      <c r="E4336" s="29"/>
      <c r="H4336" s="27"/>
      <c r="K4336"/>
      <c r="P4336" s="27"/>
      <c r="Q4336" s="27"/>
      <c r="R4336" s="27"/>
    </row>
    <row r="4337" spans="1:18">
      <c r="A4337" s="28"/>
      <c r="B4337" s="29"/>
      <c r="C4337" s="29"/>
      <c r="D4337" s="29"/>
      <c r="E4337" s="29"/>
      <c r="H4337" s="27"/>
      <c r="K4337"/>
      <c r="P4337" s="27"/>
      <c r="Q4337" s="27"/>
      <c r="R4337" s="27"/>
    </row>
    <row r="4338" spans="1:18">
      <c r="A4338" s="28"/>
      <c r="B4338" s="29"/>
      <c r="C4338" s="29"/>
      <c r="D4338" s="29"/>
      <c r="E4338" s="29"/>
      <c r="H4338" s="27"/>
      <c r="K4338"/>
      <c r="P4338" s="27"/>
      <c r="Q4338" s="27"/>
      <c r="R4338" s="27"/>
    </row>
    <row r="4339" spans="1:18">
      <c r="A4339" s="28"/>
      <c r="B4339" s="29"/>
      <c r="C4339" s="29"/>
      <c r="D4339" s="29"/>
      <c r="E4339" s="29"/>
      <c r="H4339" s="27"/>
      <c r="K4339"/>
      <c r="P4339" s="27"/>
      <c r="Q4339" s="27"/>
      <c r="R4339" s="27"/>
    </row>
    <row r="4340" spans="1:18">
      <c r="A4340" s="28"/>
      <c r="B4340" s="29"/>
      <c r="C4340" s="29"/>
      <c r="D4340" s="29"/>
      <c r="E4340" s="29"/>
      <c r="H4340" s="27"/>
      <c r="K4340"/>
      <c r="P4340" s="27"/>
      <c r="Q4340" s="27"/>
      <c r="R4340" s="27"/>
    </row>
    <row r="4341" spans="1:18">
      <c r="A4341" s="28"/>
      <c r="B4341" s="29"/>
      <c r="C4341" s="29"/>
      <c r="D4341" s="29"/>
      <c r="E4341" s="29"/>
      <c r="H4341" s="27"/>
      <c r="K4341"/>
      <c r="P4341" s="27"/>
      <c r="Q4341" s="27"/>
      <c r="R4341" s="27"/>
    </row>
    <row r="4342" spans="1:18">
      <c r="A4342" s="28"/>
      <c r="B4342" s="29"/>
      <c r="C4342" s="29"/>
      <c r="D4342" s="29"/>
      <c r="E4342" s="29"/>
      <c r="H4342" s="27"/>
      <c r="K4342"/>
      <c r="P4342" s="27"/>
      <c r="Q4342" s="27"/>
      <c r="R4342" s="27"/>
    </row>
    <row r="4343" spans="1:18">
      <c r="A4343" s="28"/>
      <c r="B4343" s="29"/>
      <c r="C4343" s="29"/>
      <c r="D4343" s="29"/>
      <c r="E4343" s="29"/>
      <c r="H4343" s="27"/>
      <c r="K4343"/>
      <c r="P4343" s="27"/>
      <c r="Q4343" s="27"/>
      <c r="R4343" s="27"/>
    </row>
    <row r="4344" spans="1:18">
      <c r="A4344" s="28"/>
      <c r="B4344" s="29"/>
      <c r="C4344" s="29"/>
      <c r="D4344" s="29"/>
      <c r="E4344" s="29"/>
      <c r="H4344" s="27"/>
      <c r="K4344"/>
      <c r="P4344" s="27"/>
      <c r="Q4344" s="27"/>
      <c r="R4344" s="27"/>
    </row>
    <row r="4345" spans="1:18">
      <c r="A4345" s="28"/>
      <c r="B4345" s="29"/>
      <c r="C4345" s="29"/>
      <c r="D4345" s="29"/>
      <c r="E4345" s="29"/>
      <c r="H4345" s="27"/>
      <c r="K4345"/>
      <c r="P4345" s="27"/>
      <c r="Q4345" s="27"/>
      <c r="R4345" s="27"/>
    </row>
    <row r="4346" spans="1:18">
      <c r="A4346" s="28"/>
      <c r="B4346" s="29"/>
      <c r="C4346" s="29"/>
      <c r="D4346" s="29"/>
      <c r="E4346" s="29"/>
      <c r="H4346" s="27"/>
      <c r="K4346"/>
      <c r="P4346" s="27"/>
      <c r="Q4346" s="27"/>
      <c r="R4346" s="27"/>
    </row>
    <row r="4347" spans="1:18">
      <c r="A4347" s="28"/>
      <c r="B4347" s="29"/>
      <c r="C4347" s="29"/>
      <c r="D4347" s="29"/>
      <c r="E4347" s="29"/>
      <c r="H4347" s="27"/>
      <c r="K4347"/>
      <c r="P4347" s="27"/>
      <c r="Q4347" s="27"/>
      <c r="R4347" s="27"/>
    </row>
    <row r="4348" spans="1:18">
      <c r="A4348" s="28"/>
      <c r="B4348" s="29"/>
      <c r="C4348" s="29"/>
      <c r="D4348" s="29"/>
      <c r="E4348" s="29"/>
      <c r="H4348" s="27"/>
      <c r="K4348"/>
      <c r="P4348" s="27"/>
      <c r="Q4348" s="27"/>
      <c r="R4348" s="27"/>
    </row>
    <row r="4349" spans="1:18">
      <c r="A4349" s="28"/>
      <c r="B4349" s="29"/>
      <c r="C4349" s="29"/>
      <c r="D4349" s="29"/>
      <c r="E4349" s="29"/>
      <c r="H4349" s="27"/>
      <c r="K4349"/>
      <c r="P4349" s="27"/>
      <c r="Q4349" s="27"/>
      <c r="R4349" s="27"/>
    </row>
    <row r="4350" spans="1:18">
      <c r="A4350" s="28"/>
      <c r="B4350" s="29"/>
      <c r="C4350" s="29"/>
      <c r="D4350" s="29"/>
      <c r="E4350" s="29"/>
      <c r="H4350" s="27"/>
      <c r="K4350"/>
      <c r="P4350" s="27"/>
      <c r="Q4350" s="27"/>
      <c r="R4350" s="27"/>
    </row>
    <row r="4351" spans="1:18">
      <c r="A4351" s="28"/>
      <c r="B4351" s="29"/>
      <c r="C4351" s="29"/>
      <c r="D4351" s="29"/>
      <c r="E4351" s="29"/>
      <c r="H4351" s="27"/>
      <c r="K4351"/>
      <c r="P4351" s="27"/>
      <c r="Q4351" s="27"/>
      <c r="R4351" s="27"/>
    </row>
    <row r="4352" spans="1:18">
      <c r="A4352" s="28"/>
      <c r="B4352" s="29"/>
      <c r="C4352" s="29"/>
      <c r="D4352" s="29"/>
      <c r="E4352" s="29"/>
      <c r="H4352" s="27"/>
      <c r="K4352"/>
      <c r="P4352" s="27"/>
      <c r="Q4352" s="27"/>
      <c r="R4352" s="27"/>
    </row>
    <row r="4353" spans="1:18">
      <c r="A4353" s="28"/>
      <c r="B4353" s="29"/>
      <c r="C4353" s="29"/>
      <c r="D4353" s="29"/>
      <c r="E4353" s="29"/>
      <c r="H4353" s="27"/>
      <c r="K4353"/>
      <c r="P4353" s="27"/>
      <c r="Q4353" s="27"/>
      <c r="R4353" s="27"/>
    </row>
    <row r="4354" spans="1:18">
      <c r="A4354" s="28"/>
      <c r="B4354" s="29"/>
      <c r="C4354" s="29"/>
      <c r="D4354" s="29"/>
      <c r="E4354" s="29"/>
      <c r="H4354" s="27"/>
      <c r="K4354"/>
      <c r="P4354" s="27"/>
      <c r="Q4354" s="27"/>
      <c r="R4354" s="27"/>
    </row>
    <row r="4355" spans="1:18">
      <c r="A4355" s="28"/>
      <c r="B4355" s="29"/>
      <c r="C4355" s="29"/>
      <c r="D4355" s="29"/>
      <c r="E4355" s="29"/>
      <c r="H4355" s="27"/>
      <c r="K4355"/>
      <c r="P4355" s="27"/>
      <c r="Q4355" s="27"/>
      <c r="R4355" s="27"/>
    </row>
    <row r="4356" spans="1:18">
      <c r="A4356" s="28"/>
      <c r="B4356" s="29"/>
      <c r="C4356" s="29"/>
      <c r="D4356" s="29"/>
      <c r="E4356" s="29"/>
      <c r="H4356" s="27"/>
      <c r="K4356"/>
      <c r="P4356" s="27"/>
      <c r="Q4356" s="27"/>
      <c r="R4356" s="27"/>
    </row>
    <row r="4357" spans="1:18">
      <c r="A4357" s="28"/>
      <c r="B4357" s="29"/>
      <c r="C4357" s="29"/>
      <c r="D4357" s="29"/>
      <c r="E4357" s="29"/>
      <c r="H4357" s="27"/>
      <c r="K4357"/>
      <c r="P4357" s="27"/>
      <c r="Q4357" s="27"/>
      <c r="R4357" s="27"/>
    </row>
    <row r="4358" spans="1:18">
      <c r="A4358" s="28"/>
      <c r="B4358" s="29"/>
      <c r="C4358" s="29"/>
      <c r="D4358" s="29"/>
      <c r="E4358" s="29"/>
      <c r="H4358" s="27"/>
      <c r="K4358"/>
      <c r="P4358" s="27"/>
      <c r="Q4358" s="27"/>
      <c r="R4358" s="27"/>
    </row>
    <row r="4359" spans="1:18">
      <c r="A4359" s="28"/>
      <c r="B4359" s="29"/>
      <c r="C4359" s="29"/>
      <c r="D4359" s="29"/>
      <c r="E4359" s="29"/>
      <c r="H4359" s="27"/>
      <c r="K4359"/>
      <c r="P4359" s="27"/>
      <c r="Q4359" s="27"/>
      <c r="R4359" s="27"/>
    </row>
    <row r="4360" spans="1:18">
      <c r="A4360" s="28"/>
      <c r="B4360" s="29"/>
      <c r="C4360" s="29"/>
      <c r="D4360" s="29"/>
      <c r="E4360" s="29"/>
      <c r="H4360" s="27"/>
      <c r="K4360"/>
      <c r="P4360" s="27"/>
      <c r="Q4360" s="27"/>
      <c r="R4360" s="27"/>
    </row>
    <row r="4361" spans="1:18">
      <c r="A4361" s="28"/>
      <c r="B4361" s="29"/>
      <c r="C4361" s="29"/>
      <c r="D4361" s="29"/>
      <c r="E4361" s="29"/>
      <c r="H4361" s="27"/>
      <c r="K4361"/>
      <c r="P4361" s="27"/>
      <c r="Q4361" s="27"/>
      <c r="R4361" s="27"/>
    </row>
    <row r="4362" spans="1:18">
      <c r="A4362" s="28"/>
      <c r="B4362" s="29"/>
      <c r="C4362" s="29"/>
      <c r="D4362" s="29"/>
      <c r="E4362" s="29"/>
      <c r="H4362" s="27"/>
      <c r="K4362"/>
      <c r="P4362" s="27"/>
      <c r="Q4362" s="27"/>
      <c r="R4362" s="27"/>
    </row>
    <row r="4363" spans="1:18">
      <c r="A4363" s="28"/>
      <c r="B4363" s="29"/>
      <c r="C4363" s="29"/>
      <c r="D4363" s="29"/>
      <c r="E4363" s="29"/>
      <c r="H4363" s="27"/>
      <c r="K4363"/>
      <c r="P4363" s="27"/>
      <c r="Q4363" s="27"/>
      <c r="R4363" s="27"/>
    </row>
    <row r="4364" spans="1:18">
      <c r="A4364" s="28"/>
      <c r="B4364" s="29"/>
      <c r="C4364" s="29"/>
      <c r="D4364" s="29"/>
      <c r="E4364" s="29"/>
      <c r="H4364" s="27"/>
      <c r="K4364"/>
      <c r="P4364" s="27"/>
      <c r="Q4364" s="27"/>
      <c r="R4364" s="27"/>
    </row>
    <row r="4365" spans="1:18">
      <c r="A4365" s="28"/>
      <c r="B4365" s="29"/>
      <c r="C4365" s="29"/>
      <c r="D4365" s="29"/>
      <c r="E4365" s="29"/>
      <c r="H4365" s="27"/>
      <c r="K4365"/>
      <c r="P4365" s="27"/>
      <c r="Q4365" s="27"/>
      <c r="R4365" s="27"/>
    </row>
    <row r="4366" spans="1:18">
      <c r="A4366" s="28"/>
      <c r="B4366" s="29"/>
      <c r="C4366" s="29"/>
      <c r="D4366" s="29"/>
      <c r="E4366" s="29"/>
      <c r="H4366" s="27"/>
      <c r="K4366"/>
      <c r="P4366" s="27"/>
      <c r="Q4366" s="27"/>
      <c r="R4366" s="27"/>
    </row>
    <row r="4367" spans="1:18">
      <c r="A4367" s="28"/>
      <c r="B4367" s="29"/>
      <c r="C4367" s="29"/>
      <c r="D4367" s="29"/>
      <c r="E4367" s="29"/>
      <c r="H4367" s="27"/>
      <c r="K4367"/>
      <c r="P4367" s="27"/>
      <c r="Q4367" s="27"/>
      <c r="R4367" s="27"/>
    </row>
    <row r="4368" spans="1:18">
      <c r="A4368" s="28"/>
      <c r="B4368" s="29"/>
      <c r="C4368" s="29"/>
      <c r="D4368" s="29"/>
      <c r="E4368" s="29"/>
      <c r="H4368" s="27"/>
      <c r="K4368"/>
      <c r="P4368" s="27"/>
      <c r="Q4368" s="27"/>
      <c r="R4368" s="27"/>
    </row>
    <row r="4369" spans="1:18">
      <c r="A4369" s="28"/>
      <c r="B4369" s="29"/>
      <c r="C4369" s="29"/>
      <c r="D4369" s="29"/>
      <c r="E4369" s="29"/>
      <c r="H4369" s="27"/>
      <c r="K4369"/>
      <c r="P4369" s="27"/>
      <c r="Q4369" s="27"/>
      <c r="R4369" s="27"/>
    </row>
    <row r="4370" spans="1:18">
      <c r="A4370" s="28"/>
      <c r="B4370" s="29"/>
      <c r="C4370" s="29"/>
      <c r="D4370" s="29"/>
      <c r="E4370" s="29"/>
      <c r="H4370" s="27"/>
      <c r="K4370"/>
      <c r="P4370" s="27"/>
      <c r="Q4370" s="27"/>
      <c r="R4370" s="27"/>
    </row>
    <row r="4371" spans="1:18">
      <c r="A4371" s="28"/>
      <c r="B4371" s="29"/>
      <c r="C4371" s="29"/>
      <c r="D4371" s="29"/>
      <c r="E4371" s="29"/>
      <c r="H4371" s="27"/>
      <c r="K4371"/>
      <c r="P4371" s="27"/>
      <c r="Q4371" s="27"/>
      <c r="R4371" s="27"/>
    </row>
    <row r="4372" spans="1:18">
      <c r="A4372" s="28"/>
      <c r="B4372" s="29"/>
      <c r="C4372" s="29"/>
      <c r="D4372" s="29"/>
      <c r="E4372" s="29"/>
      <c r="H4372" s="27"/>
      <c r="K4372"/>
      <c r="P4372" s="27"/>
      <c r="Q4372" s="27"/>
      <c r="R4372" s="27"/>
    </row>
    <row r="4373" spans="1:18">
      <c r="A4373" s="28"/>
      <c r="B4373" s="29"/>
      <c r="C4373" s="29"/>
      <c r="D4373" s="29"/>
      <c r="E4373" s="29"/>
      <c r="H4373" s="27"/>
      <c r="K4373"/>
      <c r="P4373" s="27"/>
      <c r="Q4373" s="27"/>
      <c r="R4373" s="27"/>
    </row>
    <row r="4374" spans="1:18">
      <c r="A4374" s="28"/>
      <c r="B4374" s="29"/>
      <c r="C4374" s="29"/>
      <c r="D4374" s="29"/>
      <c r="E4374" s="29"/>
      <c r="H4374" s="27"/>
      <c r="K4374"/>
      <c r="P4374" s="27"/>
      <c r="Q4374" s="27"/>
      <c r="R4374" s="27"/>
    </row>
    <row r="4375" spans="1:18">
      <c r="A4375" s="28"/>
      <c r="B4375" s="29"/>
      <c r="C4375" s="29"/>
      <c r="D4375" s="29"/>
      <c r="E4375" s="29"/>
      <c r="H4375" s="27"/>
      <c r="K4375"/>
      <c r="P4375" s="27"/>
      <c r="Q4375" s="27"/>
      <c r="R4375" s="27"/>
    </row>
    <row r="4376" spans="1:18">
      <c r="A4376" s="28"/>
      <c r="B4376" s="29"/>
      <c r="C4376" s="29"/>
      <c r="D4376" s="29"/>
      <c r="E4376" s="29"/>
      <c r="H4376" s="27"/>
      <c r="K4376"/>
      <c r="P4376" s="27"/>
      <c r="Q4376" s="27"/>
      <c r="R4376" s="27"/>
    </row>
    <row r="4377" spans="1:18">
      <c r="A4377" s="28"/>
      <c r="B4377" s="29"/>
      <c r="C4377" s="29"/>
      <c r="D4377" s="29"/>
      <c r="E4377" s="29"/>
      <c r="H4377" s="27"/>
      <c r="K4377"/>
      <c r="P4377" s="27"/>
      <c r="Q4377" s="27"/>
      <c r="R4377" s="27"/>
    </row>
    <row r="4378" spans="1:18">
      <c r="A4378" s="28"/>
      <c r="B4378" s="29"/>
      <c r="C4378" s="29"/>
      <c r="D4378" s="29"/>
      <c r="E4378" s="29"/>
      <c r="H4378" s="27"/>
      <c r="K4378"/>
      <c r="P4378" s="27"/>
      <c r="Q4378" s="27"/>
      <c r="R4378" s="27"/>
    </row>
    <row r="4379" spans="1:18">
      <c r="A4379" s="28"/>
      <c r="B4379" s="29"/>
      <c r="C4379" s="29"/>
      <c r="D4379" s="29"/>
      <c r="E4379" s="29"/>
      <c r="H4379" s="27"/>
      <c r="K4379"/>
      <c r="P4379" s="27"/>
      <c r="Q4379" s="27"/>
      <c r="R4379" s="27"/>
    </row>
    <row r="4380" spans="1:18">
      <c r="A4380" s="28"/>
      <c r="B4380" s="29"/>
      <c r="C4380" s="29"/>
      <c r="D4380" s="29"/>
      <c r="E4380" s="29"/>
      <c r="H4380" s="27"/>
      <c r="K4380"/>
      <c r="P4380" s="27"/>
      <c r="Q4380" s="27"/>
      <c r="R4380" s="27"/>
    </row>
    <row r="4381" spans="1:18">
      <c r="A4381" s="28"/>
      <c r="B4381" s="29"/>
      <c r="C4381" s="29"/>
      <c r="D4381" s="29"/>
      <c r="E4381" s="29"/>
      <c r="H4381" s="27"/>
      <c r="K4381"/>
      <c r="P4381" s="27"/>
      <c r="Q4381" s="27"/>
      <c r="R4381" s="27"/>
    </row>
    <row r="4382" spans="1:18">
      <c r="A4382" s="28"/>
      <c r="B4382" s="29"/>
      <c r="C4382" s="29"/>
      <c r="D4382" s="29"/>
      <c r="E4382" s="29"/>
      <c r="H4382" s="27"/>
      <c r="K4382"/>
      <c r="P4382" s="27"/>
      <c r="Q4382" s="27"/>
      <c r="R4382" s="27"/>
    </row>
    <row r="4383" spans="1:18">
      <c r="A4383" s="28"/>
      <c r="B4383" s="29"/>
      <c r="C4383" s="29"/>
      <c r="D4383" s="29"/>
      <c r="E4383" s="29"/>
      <c r="H4383" s="27"/>
      <c r="K4383"/>
      <c r="P4383" s="27"/>
      <c r="Q4383" s="27"/>
      <c r="R4383" s="27"/>
    </row>
    <row r="4384" spans="1:18">
      <c r="A4384" s="28"/>
      <c r="B4384" s="29"/>
      <c r="C4384" s="29"/>
      <c r="D4384" s="29"/>
      <c r="E4384" s="29"/>
      <c r="H4384" s="27"/>
      <c r="K4384"/>
      <c r="P4384" s="27"/>
      <c r="Q4384" s="27"/>
      <c r="R4384" s="27"/>
    </row>
    <row r="4385" spans="1:18">
      <c r="A4385" s="28"/>
      <c r="B4385" s="29"/>
      <c r="C4385" s="29"/>
      <c r="D4385" s="29"/>
      <c r="E4385" s="29"/>
      <c r="H4385" s="27"/>
      <c r="K4385"/>
      <c r="P4385" s="27"/>
      <c r="Q4385" s="27"/>
      <c r="R4385" s="27"/>
    </row>
    <row r="4386" spans="1:18">
      <c r="A4386" s="28"/>
      <c r="B4386" s="29"/>
      <c r="C4386" s="29"/>
      <c r="D4386" s="29"/>
      <c r="E4386" s="29"/>
      <c r="H4386" s="27"/>
      <c r="K4386"/>
      <c r="P4386" s="27"/>
      <c r="Q4386" s="27"/>
      <c r="R4386" s="27"/>
    </row>
    <row r="4387" spans="1:18">
      <c r="A4387" s="28"/>
      <c r="B4387" s="29"/>
      <c r="C4387" s="29"/>
      <c r="D4387" s="29"/>
      <c r="E4387" s="29"/>
      <c r="H4387" s="27"/>
      <c r="K4387"/>
      <c r="P4387" s="27"/>
      <c r="Q4387" s="27"/>
      <c r="R4387" s="27"/>
    </row>
    <row r="4388" spans="1:18">
      <c r="A4388" s="28"/>
      <c r="B4388" s="29"/>
      <c r="C4388" s="29"/>
      <c r="D4388" s="29"/>
      <c r="E4388" s="29"/>
      <c r="H4388" s="27"/>
      <c r="K4388"/>
      <c r="P4388" s="27"/>
      <c r="Q4388" s="27"/>
      <c r="R4388" s="27"/>
    </row>
    <row r="4389" spans="1:18">
      <c r="A4389" s="28"/>
      <c r="B4389" s="29"/>
      <c r="C4389" s="29"/>
      <c r="D4389" s="29"/>
      <c r="E4389" s="29"/>
      <c r="H4389" s="27"/>
      <c r="K4389"/>
      <c r="P4389" s="27"/>
      <c r="Q4389" s="27"/>
      <c r="R4389" s="27"/>
    </row>
    <row r="4390" spans="1:18">
      <c r="A4390" s="28"/>
      <c r="B4390" s="29"/>
      <c r="C4390" s="29"/>
      <c r="D4390" s="29"/>
      <c r="E4390" s="29"/>
      <c r="H4390" s="27"/>
      <c r="K4390"/>
      <c r="P4390" s="27"/>
      <c r="Q4390" s="27"/>
      <c r="R4390" s="27"/>
    </row>
    <row r="4391" spans="1:18">
      <c r="A4391" s="28"/>
      <c r="B4391" s="29"/>
      <c r="C4391" s="29"/>
      <c r="D4391" s="29"/>
      <c r="E4391" s="29"/>
      <c r="H4391" s="27"/>
      <c r="K4391"/>
      <c r="P4391" s="27"/>
      <c r="Q4391" s="27"/>
      <c r="R4391" s="27"/>
    </row>
    <row r="4392" spans="1:18">
      <c r="A4392" s="28"/>
      <c r="B4392" s="29"/>
      <c r="C4392" s="29"/>
      <c r="D4392" s="29"/>
      <c r="E4392" s="29"/>
      <c r="H4392" s="27"/>
      <c r="K4392"/>
      <c r="P4392" s="27"/>
      <c r="Q4392" s="27"/>
      <c r="R4392" s="27"/>
    </row>
    <row r="4393" spans="1:18">
      <c r="A4393" s="28"/>
      <c r="B4393" s="29"/>
      <c r="C4393" s="29"/>
      <c r="D4393" s="29"/>
      <c r="E4393" s="29"/>
      <c r="H4393" s="27"/>
      <c r="K4393"/>
      <c r="P4393" s="27"/>
      <c r="Q4393" s="27"/>
      <c r="R4393" s="27"/>
    </row>
    <row r="4394" spans="1:18">
      <c r="A4394" s="28"/>
      <c r="B4394" s="29"/>
      <c r="C4394" s="29"/>
      <c r="D4394" s="29"/>
      <c r="E4394" s="29"/>
      <c r="H4394" s="27"/>
      <c r="K4394"/>
      <c r="P4394" s="27"/>
      <c r="Q4394" s="27"/>
      <c r="R4394" s="27"/>
    </row>
    <row r="4395" spans="1:18">
      <c r="A4395" s="28"/>
      <c r="B4395" s="29"/>
      <c r="C4395" s="29"/>
      <c r="D4395" s="29"/>
      <c r="E4395" s="29"/>
      <c r="H4395" s="27"/>
      <c r="K4395"/>
      <c r="P4395" s="27"/>
      <c r="Q4395" s="27"/>
      <c r="R4395" s="27"/>
    </row>
    <row r="4396" spans="1:18">
      <c r="A4396" s="28"/>
      <c r="B4396" s="29"/>
      <c r="C4396" s="29"/>
      <c r="D4396" s="29"/>
      <c r="E4396" s="29"/>
      <c r="H4396" s="27"/>
      <c r="K4396"/>
      <c r="P4396" s="27"/>
      <c r="Q4396" s="27"/>
      <c r="R4396" s="27"/>
    </row>
    <row r="4397" spans="1:18">
      <c r="A4397" s="28"/>
      <c r="B4397" s="29"/>
      <c r="C4397" s="29"/>
      <c r="D4397" s="29"/>
      <c r="E4397" s="29"/>
      <c r="H4397" s="27"/>
      <c r="K4397"/>
      <c r="P4397" s="27"/>
      <c r="Q4397" s="27"/>
      <c r="R4397" s="27"/>
    </row>
    <row r="4398" spans="1:18">
      <c r="A4398" s="28"/>
      <c r="B4398" s="29"/>
      <c r="C4398" s="29"/>
      <c r="D4398" s="29"/>
      <c r="E4398" s="29"/>
      <c r="H4398" s="27"/>
      <c r="K4398"/>
      <c r="P4398" s="27"/>
      <c r="Q4398" s="27"/>
      <c r="R4398" s="27"/>
    </row>
    <row r="4399" spans="1:18">
      <c r="A4399" s="28"/>
      <c r="B4399" s="29"/>
      <c r="C4399" s="29"/>
      <c r="D4399" s="29"/>
      <c r="E4399" s="29"/>
      <c r="H4399" s="27"/>
      <c r="K4399"/>
      <c r="P4399" s="27"/>
      <c r="Q4399" s="27"/>
      <c r="R4399" s="27"/>
    </row>
    <row r="4400" spans="1:18">
      <c r="A4400" s="28"/>
      <c r="B4400" s="29"/>
      <c r="C4400" s="29"/>
      <c r="D4400" s="29"/>
      <c r="E4400" s="29"/>
      <c r="H4400" s="27"/>
      <c r="K4400"/>
      <c r="P4400" s="27"/>
      <c r="Q4400" s="27"/>
      <c r="R4400" s="27"/>
    </row>
    <row r="4401" spans="1:18">
      <c r="A4401" s="28"/>
      <c r="B4401" s="29"/>
      <c r="C4401" s="29"/>
      <c r="D4401" s="29"/>
      <c r="E4401" s="29"/>
      <c r="H4401" s="27"/>
      <c r="K4401"/>
      <c r="P4401" s="27"/>
      <c r="Q4401" s="27"/>
      <c r="R4401" s="27"/>
    </row>
    <row r="4402" spans="1:18">
      <c r="A4402" s="28"/>
      <c r="B4402" s="29"/>
      <c r="C4402" s="29"/>
      <c r="D4402" s="29"/>
      <c r="E4402" s="29"/>
      <c r="H4402" s="27"/>
      <c r="K4402"/>
      <c r="P4402" s="27"/>
      <c r="Q4402" s="27"/>
      <c r="R4402" s="27"/>
    </row>
    <row r="4403" spans="1:18">
      <c r="A4403" s="28"/>
      <c r="B4403" s="29"/>
      <c r="C4403" s="29"/>
      <c r="D4403" s="29"/>
      <c r="E4403" s="29"/>
      <c r="H4403" s="27"/>
      <c r="K4403"/>
      <c r="P4403" s="27"/>
      <c r="Q4403" s="27"/>
      <c r="R4403" s="27"/>
    </row>
    <row r="4404" spans="1:18">
      <c r="A4404" s="28"/>
      <c r="B4404" s="29"/>
      <c r="C4404" s="29"/>
      <c r="D4404" s="29"/>
      <c r="E4404" s="29"/>
      <c r="H4404" s="27"/>
      <c r="K4404"/>
      <c r="P4404" s="27"/>
      <c r="Q4404" s="27"/>
      <c r="R4404" s="27"/>
    </row>
    <row r="4405" spans="1:18">
      <c r="A4405" s="28"/>
      <c r="B4405" s="29"/>
      <c r="C4405" s="29"/>
      <c r="D4405" s="29"/>
      <c r="E4405" s="29"/>
      <c r="H4405" s="27"/>
      <c r="K4405"/>
      <c r="P4405" s="27"/>
      <c r="Q4405" s="27"/>
      <c r="R4405" s="27"/>
    </row>
    <row r="4406" spans="1:18">
      <c r="A4406" s="28"/>
      <c r="B4406" s="29"/>
      <c r="C4406" s="29"/>
      <c r="D4406" s="29"/>
      <c r="E4406" s="29"/>
      <c r="H4406" s="27"/>
      <c r="K4406"/>
      <c r="P4406" s="27"/>
      <c r="Q4406" s="27"/>
      <c r="R4406" s="27"/>
    </row>
    <row r="4407" spans="1:18">
      <c r="A4407" s="28"/>
      <c r="B4407" s="29"/>
      <c r="C4407" s="29"/>
      <c r="D4407" s="29"/>
      <c r="E4407" s="29"/>
      <c r="H4407" s="27"/>
      <c r="K4407"/>
      <c r="P4407" s="27"/>
      <c r="Q4407" s="27"/>
      <c r="R4407" s="27"/>
    </row>
    <row r="4408" spans="1:18">
      <c r="A4408" s="28"/>
      <c r="B4408" s="29"/>
      <c r="C4408" s="29"/>
      <c r="D4408" s="29"/>
      <c r="E4408" s="29"/>
      <c r="H4408" s="27"/>
      <c r="K4408"/>
      <c r="P4408" s="27"/>
      <c r="Q4408" s="27"/>
      <c r="R4408" s="27"/>
    </row>
    <row r="4409" spans="1:18">
      <c r="A4409" s="28"/>
      <c r="B4409" s="29"/>
      <c r="C4409" s="29"/>
      <c r="D4409" s="29"/>
      <c r="E4409" s="29"/>
      <c r="H4409" s="27"/>
      <c r="K4409"/>
      <c r="P4409" s="27"/>
      <c r="Q4409" s="27"/>
      <c r="R4409" s="27"/>
    </row>
    <row r="4410" spans="1:18">
      <c r="A4410" s="28"/>
      <c r="B4410" s="29"/>
      <c r="C4410" s="29"/>
      <c r="D4410" s="29"/>
      <c r="E4410" s="29"/>
      <c r="H4410" s="27"/>
      <c r="K4410"/>
      <c r="P4410" s="27"/>
      <c r="Q4410" s="27"/>
      <c r="R4410" s="27"/>
    </row>
    <row r="4411" spans="1:18">
      <c r="A4411" s="28"/>
      <c r="B4411" s="29"/>
      <c r="C4411" s="29"/>
      <c r="D4411" s="29"/>
      <c r="E4411" s="29"/>
      <c r="H4411" s="27"/>
      <c r="K4411"/>
      <c r="P4411" s="27"/>
      <c r="Q4411" s="27"/>
      <c r="R4411" s="27"/>
    </row>
    <row r="4412" spans="1:18">
      <c r="A4412" s="28"/>
      <c r="B4412" s="29"/>
      <c r="C4412" s="29"/>
      <c r="D4412" s="29"/>
      <c r="E4412" s="29"/>
      <c r="H4412" s="27"/>
      <c r="K4412"/>
      <c r="P4412" s="27"/>
      <c r="Q4412" s="27"/>
      <c r="R4412" s="27"/>
    </row>
    <row r="4413" spans="1:18">
      <c r="A4413" s="28"/>
      <c r="B4413" s="29"/>
      <c r="C4413" s="29"/>
      <c r="D4413" s="29"/>
      <c r="E4413" s="29"/>
      <c r="H4413" s="27"/>
      <c r="K4413"/>
      <c r="P4413" s="27"/>
      <c r="Q4413" s="27"/>
      <c r="R4413" s="27"/>
    </row>
    <row r="4414" spans="1:18">
      <c r="A4414" s="28"/>
      <c r="B4414" s="29"/>
      <c r="C4414" s="29"/>
      <c r="D4414" s="29"/>
      <c r="E4414" s="29"/>
      <c r="H4414" s="27"/>
      <c r="K4414"/>
      <c r="P4414" s="27"/>
      <c r="Q4414" s="27"/>
      <c r="R4414" s="27"/>
    </row>
    <row r="4415" spans="1:18">
      <c r="A4415" s="28"/>
      <c r="B4415" s="29"/>
      <c r="C4415" s="29"/>
      <c r="D4415" s="29"/>
      <c r="E4415" s="29"/>
      <c r="H4415" s="27"/>
      <c r="K4415"/>
      <c r="P4415" s="27"/>
      <c r="Q4415" s="27"/>
      <c r="R4415" s="27"/>
    </row>
    <row r="4416" spans="1:18">
      <c r="A4416" s="28"/>
      <c r="B4416" s="29"/>
      <c r="C4416" s="29"/>
      <c r="D4416" s="29"/>
      <c r="E4416" s="29"/>
      <c r="H4416" s="27"/>
      <c r="K4416"/>
      <c r="P4416" s="27"/>
      <c r="Q4416" s="27"/>
      <c r="R4416" s="27"/>
    </row>
    <row r="4417" spans="1:18">
      <c r="A4417" s="28"/>
      <c r="B4417" s="29"/>
      <c r="C4417" s="29"/>
      <c r="D4417" s="29"/>
      <c r="E4417" s="29"/>
      <c r="H4417" s="27"/>
      <c r="K4417"/>
      <c r="P4417" s="27"/>
      <c r="Q4417" s="27"/>
      <c r="R4417" s="27"/>
    </row>
    <row r="4418" spans="1:18">
      <c r="A4418" s="28"/>
      <c r="B4418" s="29"/>
      <c r="C4418" s="29"/>
      <c r="D4418" s="29"/>
      <c r="E4418" s="29"/>
      <c r="H4418" s="27"/>
      <c r="K4418"/>
      <c r="P4418" s="27"/>
      <c r="Q4418" s="27"/>
      <c r="R4418" s="27"/>
    </row>
    <row r="4419" spans="1:18">
      <c r="A4419" s="28"/>
      <c r="B4419" s="29"/>
      <c r="C4419" s="29"/>
      <c r="D4419" s="29"/>
      <c r="E4419" s="29"/>
      <c r="H4419" s="27"/>
      <c r="K4419"/>
      <c r="P4419" s="27"/>
      <c r="Q4419" s="27"/>
      <c r="R4419" s="27"/>
    </row>
    <row r="4420" spans="1:18">
      <c r="A4420" s="28"/>
      <c r="B4420" s="29"/>
      <c r="C4420" s="29"/>
      <c r="D4420" s="29"/>
      <c r="E4420" s="29"/>
      <c r="H4420" s="27"/>
      <c r="K4420"/>
      <c r="P4420" s="27"/>
      <c r="Q4420" s="27"/>
      <c r="R4420" s="27"/>
    </row>
    <row r="4421" spans="1:18">
      <c r="A4421" s="28"/>
      <c r="B4421" s="29"/>
      <c r="C4421" s="29"/>
      <c r="D4421" s="29"/>
      <c r="E4421" s="29"/>
      <c r="H4421" s="27"/>
      <c r="K4421"/>
      <c r="P4421" s="27"/>
      <c r="Q4421" s="27"/>
      <c r="R4421" s="27"/>
    </row>
    <row r="4422" spans="1:18">
      <c r="A4422" s="28"/>
      <c r="B4422" s="29"/>
      <c r="C4422" s="29"/>
      <c r="D4422" s="29"/>
      <c r="E4422" s="29"/>
      <c r="H4422" s="27"/>
      <c r="K4422"/>
      <c r="P4422" s="27"/>
      <c r="Q4422" s="27"/>
      <c r="R4422" s="27"/>
    </row>
    <row r="4423" spans="1:18">
      <c r="A4423" s="28"/>
      <c r="B4423" s="29"/>
      <c r="C4423" s="29"/>
      <c r="D4423" s="29"/>
      <c r="E4423" s="29"/>
      <c r="H4423" s="27"/>
      <c r="K4423"/>
      <c r="P4423" s="27"/>
      <c r="Q4423" s="27"/>
      <c r="R4423" s="27"/>
    </row>
    <row r="4424" spans="1:18">
      <c r="A4424" s="28"/>
      <c r="B4424" s="29"/>
      <c r="C4424" s="29"/>
      <c r="D4424" s="29"/>
      <c r="E4424" s="29"/>
      <c r="H4424" s="27"/>
      <c r="K4424"/>
      <c r="P4424" s="27"/>
      <c r="Q4424" s="27"/>
      <c r="R4424" s="27"/>
    </row>
    <row r="4425" spans="1:18">
      <c r="A4425" s="28"/>
      <c r="B4425" s="29"/>
      <c r="C4425" s="29"/>
      <c r="D4425" s="29"/>
      <c r="E4425" s="29"/>
      <c r="H4425" s="27"/>
      <c r="K4425"/>
      <c r="P4425" s="27"/>
      <c r="Q4425" s="27"/>
      <c r="R4425" s="27"/>
    </row>
    <row r="4426" spans="1:18">
      <c r="A4426" s="28"/>
      <c r="B4426" s="29"/>
      <c r="C4426" s="29"/>
      <c r="D4426" s="29"/>
      <c r="E4426" s="29"/>
      <c r="H4426" s="27"/>
      <c r="K4426"/>
      <c r="P4426" s="27"/>
      <c r="Q4426" s="27"/>
      <c r="R4426" s="27"/>
    </row>
    <row r="4427" spans="1:18">
      <c r="A4427" s="28"/>
      <c r="B4427" s="29"/>
      <c r="C4427" s="29"/>
      <c r="D4427" s="29"/>
      <c r="E4427" s="29"/>
      <c r="H4427" s="27"/>
      <c r="K4427"/>
      <c r="P4427" s="27"/>
      <c r="Q4427" s="27"/>
      <c r="R4427" s="27"/>
    </row>
    <row r="4428" spans="1:18">
      <c r="A4428" s="28"/>
      <c r="B4428" s="29"/>
      <c r="C4428" s="29"/>
      <c r="D4428" s="29"/>
      <c r="E4428" s="29"/>
      <c r="H4428" s="27"/>
      <c r="K4428"/>
      <c r="P4428" s="27"/>
      <c r="Q4428" s="27"/>
      <c r="R4428" s="27"/>
    </row>
    <row r="4429" spans="1:18">
      <c r="A4429" s="28"/>
      <c r="B4429" s="29"/>
      <c r="C4429" s="29"/>
      <c r="D4429" s="29"/>
      <c r="E4429" s="29"/>
      <c r="H4429" s="27"/>
      <c r="K4429"/>
      <c r="P4429" s="27"/>
      <c r="Q4429" s="27"/>
      <c r="R4429" s="27"/>
    </row>
    <row r="4430" spans="1:18">
      <c r="A4430" s="28"/>
      <c r="B4430" s="29"/>
      <c r="C4430" s="29"/>
      <c r="D4430" s="29"/>
      <c r="E4430" s="29"/>
      <c r="H4430" s="27"/>
      <c r="K4430"/>
      <c r="P4430" s="27"/>
      <c r="Q4430" s="27"/>
      <c r="R4430" s="27"/>
    </row>
    <row r="4431" spans="1:18">
      <c r="A4431" s="28"/>
      <c r="B4431" s="29"/>
      <c r="C4431" s="29"/>
      <c r="D4431" s="29"/>
      <c r="E4431" s="29"/>
      <c r="H4431" s="27"/>
      <c r="K4431"/>
      <c r="P4431" s="27"/>
      <c r="Q4431" s="27"/>
      <c r="R4431" s="27"/>
    </row>
    <row r="4432" spans="1:18">
      <c r="A4432" s="28"/>
      <c r="B4432" s="29"/>
      <c r="C4432" s="29"/>
      <c r="D4432" s="29"/>
      <c r="E4432" s="29"/>
      <c r="H4432" s="27"/>
      <c r="K4432"/>
      <c r="P4432" s="27"/>
      <c r="Q4432" s="27"/>
      <c r="R4432" s="27"/>
    </row>
    <row r="4433" spans="1:18">
      <c r="A4433" s="28"/>
      <c r="B4433" s="29"/>
      <c r="C4433" s="29"/>
      <c r="D4433" s="29"/>
      <c r="E4433" s="29"/>
      <c r="H4433" s="27"/>
      <c r="K4433"/>
      <c r="P4433" s="27"/>
      <c r="Q4433" s="27"/>
      <c r="R4433" s="27"/>
    </row>
    <row r="4434" spans="1:18">
      <c r="A4434" s="28"/>
      <c r="B4434" s="29"/>
      <c r="C4434" s="29"/>
      <c r="D4434" s="29"/>
      <c r="E4434" s="29"/>
      <c r="H4434" s="27"/>
      <c r="K4434"/>
      <c r="P4434" s="27"/>
      <c r="Q4434" s="27"/>
      <c r="R4434" s="27"/>
    </row>
    <row r="4435" spans="1:18">
      <c r="A4435" s="28"/>
      <c r="B4435" s="29"/>
      <c r="C4435" s="29"/>
      <c r="D4435" s="29"/>
      <c r="E4435" s="29"/>
      <c r="H4435" s="27"/>
      <c r="K4435"/>
      <c r="P4435" s="27"/>
      <c r="Q4435" s="27"/>
      <c r="R4435" s="27"/>
    </row>
    <row r="4436" spans="1:18">
      <c r="A4436" s="28"/>
      <c r="B4436" s="29"/>
      <c r="C4436" s="29"/>
      <c r="D4436" s="29"/>
      <c r="E4436" s="29"/>
      <c r="H4436" s="27"/>
      <c r="K4436"/>
      <c r="P4436" s="27"/>
      <c r="Q4436" s="27"/>
      <c r="R4436" s="27"/>
    </row>
    <row r="4437" spans="1:18">
      <c r="A4437" s="28"/>
      <c r="B4437" s="29"/>
      <c r="C4437" s="29"/>
      <c r="D4437" s="29"/>
      <c r="E4437" s="29"/>
      <c r="H4437" s="27"/>
      <c r="K4437"/>
      <c r="P4437" s="27"/>
      <c r="Q4437" s="27"/>
      <c r="R4437" s="27"/>
    </row>
    <row r="4438" spans="1:18">
      <c r="A4438" s="28"/>
      <c r="B4438" s="29"/>
      <c r="C4438" s="29"/>
      <c r="D4438" s="29"/>
      <c r="E4438" s="29"/>
      <c r="H4438" s="27"/>
      <c r="K4438"/>
      <c r="P4438" s="27"/>
      <c r="Q4438" s="27"/>
      <c r="R4438" s="27"/>
    </row>
    <row r="4439" spans="1:18">
      <c r="A4439" s="28"/>
      <c r="B4439" s="29"/>
      <c r="C4439" s="29"/>
      <c r="D4439" s="29"/>
      <c r="E4439" s="29"/>
      <c r="H4439" s="27"/>
      <c r="K4439"/>
      <c r="P4439" s="27"/>
      <c r="Q4439" s="27"/>
      <c r="R4439" s="27"/>
    </row>
    <row r="4440" spans="1:18">
      <c r="A4440" s="28"/>
      <c r="B4440" s="29"/>
      <c r="C4440" s="29"/>
      <c r="D4440" s="29"/>
      <c r="E4440" s="29"/>
      <c r="H4440" s="27"/>
      <c r="K4440"/>
      <c r="P4440" s="27"/>
      <c r="Q4440" s="27"/>
      <c r="R4440" s="27"/>
    </row>
    <row r="4441" spans="1:18">
      <c r="A4441" s="28"/>
      <c r="B4441" s="29"/>
      <c r="C4441" s="29"/>
      <c r="D4441" s="29"/>
      <c r="E4441" s="29"/>
      <c r="H4441" s="27"/>
      <c r="K4441"/>
      <c r="P4441" s="27"/>
      <c r="Q4441" s="27"/>
      <c r="R4441" s="27"/>
    </row>
    <row r="4442" spans="1:18">
      <c r="A4442" s="28"/>
      <c r="B4442" s="29"/>
      <c r="C4442" s="29"/>
      <c r="D4442" s="29"/>
      <c r="E4442" s="29"/>
      <c r="H4442" s="27"/>
      <c r="K4442"/>
      <c r="P4442" s="27"/>
      <c r="Q4442" s="27"/>
      <c r="R4442" s="27"/>
    </row>
    <row r="4443" spans="1:18">
      <c r="A4443" s="28"/>
      <c r="B4443" s="29"/>
      <c r="C4443" s="29"/>
      <c r="D4443" s="29"/>
      <c r="E4443" s="29"/>
      <c r="H4443" s="27"/>
      <c r="K4443"/>
      <c r="P4443" s="27"/>
      <c r="Q4443" s="27"/>
      <c r="R4443" s="27"/>
    </row>
    <row r="4444" spans="1:18">
      <c r="A4444" s="28"/>
      <c r="B4444" s="29"/>
      <c r="C4444" s="29"/>
      <c r="D4444" s="29"/>
      <c r="E4444" s="29"/>
      <c r="H4444" s="27"/>
      <c r="K4444"/>
      <c r="P4444" s="27"/>
      <c r="Q4444" s="27"/>
      <c r="R4444" s="27"/>
    </row>
    <row r="4445" spans="1:18">
      <c r="A4445" s="28"/>
      <c r="B4445" s="29"/>
      <c r="C4445" s="29"/>
      <c r="D4445" s="29"/>
      <c r="E4445" s="29"/>
      <c r="H4445" s="27"/>
      <c r="K4445"/>
      <c r="P4445" s="27"/>
      <c r="Q4445" s="27"/>
      <c r="R4445" s="27"/>
    </row>
    <row r="4446" spans="1:18">
      <c r="A4446" s="28"/>
      <c r="B4446" s="29"/>
      <c r="C4446" s="29"/>
      <c r="D4446" s="29"/>
      <c r="E4446" s="29"/>
      <c r="H4446" s="27"/>
      <c r="K4446"/>
      <c r="P4446" s="27"/>
      <c r="Q4446" s="27"/>
      <c r="R4446" s="27"/>
    </row>
    <row r="4447" spans="1:18">
      <c r="A4447" s="28"/>
      <c r="B4447" s="29"/>
      <c r="C4447" s="29"/>
      <c r="D4447" s="29"/>
      <c r="E4447" s="29"/>
      <c r="H4447" s="27"/>
      <c r="K4447"/>
      <c r="P4447" s="27"/>
      <c r="Q4447" s="27"/>
      <c r="R4447" s="27"/>
    </row>
    <row r="4448" spans="1:18">
      <c r="A4448" s="28"/>
      <c r="B4448" s="29"/>
      <c r="C4448" s="29"/>
      <c r="D4448" s="29"/>
      <c r="E4448" s="29"/>
      <c r="H4448" s="27"/>
      <c r="K4448"/>
      <c r="P4448" s="27"/>
      <c r="Q4448" s="27"/>
      <c r="R4448" s="27"/>
    </row>
    <row r="4449" spans="1:18">
      <c r="A4449" s="28"/>
      <c r="B4449" s="29"/>
      <c r="C4449" s="29"/>
      <c r="D4449" s="29"/>
      <c r="E4449" s="29"/>
      <c r="H4449" s="27"/>
      <c r="K4449"/>
      <c r="P4449" s="27"/>
      <c r="Q4449" s="27"/>
      <c r="R4449" s="27"/>
    </row>
    <row r="4450" spans="1:18">
      <c r="A4450" s="28"/>
      <c r="B4450" s="29"/>
      <c r="C4450" s="29"/>
      <c r="D4450" s="29"/>
      <c r="E4450" s="29"/>
      <c r="H4450" s="27"/>
      <c r="K4450"/>
      <c r="P4450" s="27"/>
      <c r="Q4450" s="27"/>
      <c r="R4450" s="27"/>
    </row>
    <row r="4451" spans="1:18">
      <c r="A4451" s="28"/>
      <c r="B4451" s="29"/>
      <c r="C4451" s="29"/>
      <c r="D4451" s="29"/>
      <c r="E4451" s="29"/>
      <c r="H4451" s="27"/>
      <c r="K4451"/>
      <c r="P4451" s="27"/>
      <c r="Q4451" s="27"/>
      <c r="R4451" s="27"/>
    </row>
    <row r="4452" spans="1:18">
      <c r="A4452" s="28"/>
      <c r="B4452" s="29"/>
      <c r="C4452" s="29"/>
      <c r="D4452" s="29"/>
      <c r="E4452" s="29"/>
      <c r="H4452" s="27"/>
      <c r="K4452"/>
      <c r="P4452" s="27"/>
      <c r="Q4452" s="27"/>
      <c r="R4452" s="27"/>
    </row>
    <row r="4453" spans="1:18">
      <c r="A4453" s="28"/>
      <c r="B4453" s="29"/>
      <c r="C4453" s="29"/>
      <c r="D4453" s="29"/>
      <c r="E4453" s="29"/>
      <c r="H4453" s="27"/>
      <c r="K4453"/>
      <c r="P4453" s="27"/>
      <c r="Q4453" s="27"/>
      <c r="R4453" s="27"/>
    </row>
    <row r="4454" spans="1:18">
      <c r="A4454" s="28"/>
      <c r="B4454" s="29"/>
      <c r="C4454" s="29"/>
      <c r="D4454" s="29"/>
      <c r="E4454" s="29"/>
      <c r="H4454" s="27"/>
      <c r="K4454"/>
      <c r="P4454" s="27"/>
      <c r="Q4454" s="27"/>
      <c r="R4454" s="27"/>
    </row>
    <row r="4455" spans="1:18">
      <c r="A4455" s="28"/>
      <c r="B4455" s="29"/>
      <c r="C4455" s="29"/>
      <c r="D4455" s="29"/>
      <c r="E4455" s="29"/>
      <c r="H4455" s="27"/>
      <c r="K4455"/>
      <c r="P4455" s="27"/>
      <c r="Q4455" s="27"/>
      <c r="R4455" s="27"/>
    </row>
    <row r="4456" spans="1:18">
      <c r="A4456" s="28"/>
      <c r="B4456" s="29"/>
      <c r="C4456" s="29"/>
      <c r="D4456" s="29"/>
      <c r="E4456" s="29"/>
      <c r="H4456" s="27"/>
      <c r="K4456"/>
      <c r="P4456" s="27"/>
      <c r="Q4456" s="27"/>
      <c r="R4456" s="27"/>
    </row>
    <row r="4457" spans="1:18">
      <c r="A4457" s="28"/>
      <c r="B4457" s="29"/>
      <c r="C4457" s="29"/>
      <c r="D4457" s="29"/>
      <c r="E4457" s="29"/>
      <c r="H4457" s="27"/>
      <c r="K4457"/>
      <c r="P4457" s="27"/>
      <c r="Q4457" s="27"/>
      <c r="R4457" s="27"/>
    </row>
    <row r="4458" spans="1:18">
      <c r="A4458" s="28"/>
      <c r="B4458" s="29"/>
      <c r="C4458" s="29"/>
      <c r="D4458" s="29"/>
      <c r="E4458" s="29"/>
      <c r="H4458" s="27"/>
      <c r="K4458"/>
      <c r="P4458" s="27"/>
      <c r="Q4458" s="27"/>
      <c r="R4458" s="27"/>
    </row>
    <row r="4459" spans="1:18">
      <c r="A4459" s="28"/>
      <c r="B4459" s="29"/>
      <c r="C4459" s="29"/>
      <c r="D4459" s="29"/>
      <c r="E4459" s="29"/>
      <c r="H4459" s="27"/>
      <c r="K4459"/>
      <c r="P4459" s="27"/>
      <c r="Q4459" s="27"/>
      <c r="R4459" s="27"/>
    </row>
    <row r="4460" spans="1:18">
      <c r="A4460" s="28"/>
      <c r="B4460" s="29"/>
      <c r="C4460" s="29"/>
      <c r="D4460" s="29"/>
      <c r="E4460" s="29"/>
      <c r="H4460" s="27"/>
      <c r="K4460"/>
      <c r="P4460" s="27"/>
      <c r="Q4460" s="27"/>
      <c r="R4460" s="27"/>
    </row>
    <row r="4461" spans="1:18">
      <c r="A4461" s="28"/>
      <c r="B4461" s="29"/>
      <c r="C4461" s="29"/>
      <c r="D4461" s="29"/>
      <c r="E4461" s="29"/>
      <c r="H4461" s="27"/>
      <c r="K4461"/>
      <c r="P4461" s="27"/>
      <c r="Q4461" s="27"/>
      <c r="R4461" s="27"/>
    </row>
    <row r="4462" spans="1:18">
      <c r="A4462" s="28"/>
      <c r="B4462" s="29"/>
      <c r="C4462" s="29"/>
      <c r="D4462" s="29"/>
      <c r="E4462" s="29"/>
      <c r="H4462" s="27"/>
      <c r="K4462"/>
      <c r="P4462" s="27"/>
      <c r="Q4462" s="27"/>
      <c r="R4462" s="27"/>
    </row>
    <row r="4463" spans="1:18">
      <c r="A4463" s="28"/>
      <c r="B4463" s="29"/>
      <c r="C4463" s="29"/>
      <c r="D4463" s="29"/>
      <c r="E4463" s="29"/>
      <c r="H4463" s="27"/>
      <c r="K4463"/>
      <c r="P4463" s="27"/>
      <c r="Q4463" s="27"/>
      <c r="R4463" s="27"/>
    </row>
    <row r="4464" spans="1:18">
      <c r="A4464" s="28"/>
      <c r="B4464" s="29"/>
      <c r="C4464" s="29"/>
      <c r="D4464" s="29"/>
      <c r="E4464" s="29"/>
      <c r="H4464" s="27"/>
      <c r="K4464"/>
      <c r="P4464" s="27"/>
      <c r="Q4464" s="27"/>
      <c r="R4464" s="27"/>
    </row>
    <row r="4465" spans="1:18">
      <c r="A4465" s="28"/>
      <c r="B4465" s="29"/>
      <c r="C4465" s="29"/>
      <c r="D4465" s="29"/>
      <c r="E4465" s="29"/>
      <c r="H4465" s="27"/>
      <c r="K4465"/>
      <c r="P4465" s="27"/>
      <c r="Q4465" s="27"/>
      <c r="R4465" s="27"/>
    </row>
    <row r="4466" spans="1:18">
      <c r="A4466" s="28"/>
      <c r="B4466" s="29"/>
      <c r="C4466" s="29"/>
      <c r="D4466" s="29"/>
      <c r="E4466" s="29"/>
      <c r="H4466" s="27"/>
      <c r="K4466"/>
      <c r="P4466" s="27"/>
      <c r="Q4466" s="27"/>
      <c r="R4466" s="27"/>
    </row>
    <row r="4467" spans="1:18">
      <c r="A4467" s="28"/>
      <c r="B4467" s="29"/>
      <c r="C4467" s="29"/>
      <c r="D4467" s="29"/>
      <c r="E4467" s="29"/>
      <c r="H4467" s="27"/>
      <c r="K4467"/>
      <c r="P4467" s="27"/>
      <c r="Q4467" s="27"/>
      <c r="R4467" s="27"/>
    </row>
    <row r="4468" spans="1:18">
      <c r="A4468" s="28"/>
      <c r="B4468" s="29"/>
      <c r="C4468" s="29"/>
      <c r="D4468" s="29"/>
      <c r="E4468" s="29"/>
      <c r="H4468" s="27"/>
      <c r="K4468"/>
      <c r="P4468" s="27"/>
      <c r="Q4468" s="27"/>
      <c r="R4468" s="27"/>
    </row>
    <row r="4469" spans="1:18">
      <c r="A4469" s="28"/>
      <c r="B4469" s="29"/>
      <c r="C4469" s="29"/>
      <c r="D4469" s="29"/>
      <c r="E4469" s="29"/>
      <c r="H4469" s="27"/>
      <c r="K4469"/>
      <c r="P4469" s="27"/>
      <c r="Q4469" s="27"/>
      <c r="R4469" s="27"/>
    </row>
    <row r="4470" spans="1:18">
      <c r="A4470" s="28"/>
      <c r="B4470" s="29"/>
      <c r="C4470" s="29"/>
      <c r="D4470" s="29"/>
      <c r="E4470" s="29"/>
      <c r="H4470" s="27"/>
      <c r="K4470"/>
      <c r="P4470" s="27"/>
      <c r="Q4470" s="27"/>
      <c r="R4470" s="27"/>
    </row>
    <row r="4471" spans="1:18">
      <c r="A4471" s="28"/>
      <c r="B4471" s="29"/>
      <c r="C4471" s="29"/>
      <c r="D4471" s="29"/>
      <c r="E4471" s="29"/>
      <c r="H4471" s="27"/>
      <c r="K4471"/>
      <c r="P4471" s="27"/>
      <c r="Q4471" s="27"/>
      <c r="R4471" s="27"/>
    </row>
    <row r="4472" spans="1:18">
      <c r="A4472" s="28"/>
      <c r="B4472" s="29"/>
      <c r="C4472" s="29"/>
      <c r="D4472" s="29"/>
      <c r="E4472" s="29"/>
      <c r="H4472" s="27"/>
      <c r="K4472"/>
      <c r="P4472" s="27"/>
      <c r="Q4472" s="27"/>
      <c r="R4472" s="27"/>
    </row>
    <row r="4473" spans="1:18">
      <c r="A4473" s="28"/>
      <c r="B4473" s="29"/>
      <c r="C4473" s="29"/>
      <c r="D4473" s="29"/>
      <c r="E4473" s="29"/>
      <c r="H4473" s="27"/>
      <c r="K4473"/>
      <c r="P4473" s="27"/>
      <c r="Q4473" s="27"/>
      <c r="R4473" s="27"/>
    </row>
    <row r="4474" spans="1:18">
      <c r="A4474" s="28"/>
      <c r="B4474" s="29"/>
      <c r="C4474" s="29"/>
      <c r="D4474" s="29"/>
      <c r="E4474" s="29"/>
      <c r="H4474" s="27"/>
      <c r="K4474"/>
      <c r="P4474" s="27"/>
      <c r="Q4474" s="27"/>
      <c r="R4474" s="27"/>
    </row>
    <row r="4475" spans="1:18">
      <c r="A4475" s="28"/>
      <c r="B4475" s="29"/>
      <c r="C4475" s="29"/>
      <c r="D4475" s="29"/>
      <c r="E4475" s="29"/>
      <c r="H4475" s="27"/>
      <c r="K4475"/>
      <c r="P4475" s="27"/>
      <c r="Q4475" s="27"/>
      <c r="R4475" s="27"/>
    </row>
    <row r="4476" spans="1:18">
      <c r="A4476" s="28"/>
      <c r="B4476" s="29"/>
      <c r="C4476" s="29"/>
      <c r="D4476" s="29"/>
      <c r="E4476" s="29"/>
      <c r="H4476" s="27"/>
      <c r="K4476"/>
      <c r="P4476" s="27"/>
      <c r="Q4476" s="27"/>
      <c r="R4476" s="27"/>
    </row>
    <row r="4477" spans="1:18">
      <c r="A4477" s="28"/>
      <c r="B4477" s="29"/>
      <c r="C4477" s="29"/>
      <c r="D4477" s="29"/>
      <c r="E4477" s="29"/>
      <c r="H4477" s="27"/>
      <c r="K4477"/>
      <c r="P4477" s="27"/>
      <c r="Q4477" s="27"/>
      <c r="R4477" s="27"/>
    </row>
    <row r="4478" spans="1:18">
      <c r="A4478" s="28"/>
      <c r="B4478" s="29"/>
      <c r="C4478" s="29"/>
      <c r="D4478" s="29"/>
      <c r="E4478" s="29"/>
      <c r="H4478" s="27"/>
      <c r="K4478"/>
      <c r="P4478" s="27"/>
      <c r="Q4478" s="27"/>
      <c r="R4478" s="27"/>
    </row>
    <row r="4479" spans="1:18">
      <c r="A4479" s="28"/>
      <c r="B4479" s="29"/>
      <c r="C4479" s="29"/>
      <c r="D4479" s="29"/>
      <c r="E4479" s="29"/>
      <c r="H4479" s="27"/>
      <c r="K4479"/>
      <c r="P4479" s="27"/>
      <c r="Q4479" s="27"/>
      <c r="R4479" s="27"/>
    </row>
    <row r="4480" spans="1:18">
      <c r="A4480" s="28"/>
      <c r="B4480" s="29"/>
      <c r="C4480" s="29"/>
      <c r="D4480" s="29"/>
      <c r="E4480" s="29"/>
      <c r="H4480" s="27"/>
      <c r="K4480"/>
      <c r="P4480" s="27"/>
      <c r="Q4480" s="27"/>
      <c r="R4480" s="27"/>
    </row>
    <row r="4481" spans="1:18">
      <c r="A4481" s="28"/>
      <c r="B4481" s="29"/>
      <c r="C4481" s="29"/>
      <c r="D4481" s="29"/>
      <c r="E4481" s="29"/>
      <c r="H4481" s="27"/>
      <c r="K4481"/>
      <c r="P4481" s="27"/>
      <c r="Q4481" s="27"/>
      <c r="R4481" s="27"/>
    </row>
    <row r="4482" spans="1:18">
      <c r="A4482" s="28"/>
      <c r="B4482" s="29"/>
      <c r="C4482" s="29"/>
      <c r="D4482" s="29"/>
      <c r="E4482" s="29"/>
      <c r="H4482" s="27"/>
      <c r="K4482"/>
      <c r="P4482" s="27"/>
      <c r="Q4482" s="27"/>
      <c r="R4482" s="27"/>
    </row>
    <row r="4483" spans="1:18">
      <c r="A4483" s="28"/>
      <c r="B4483" s="29"/>
      <c r="C4483" s="29"/>
      <c r="D4483" s="29"/>
      <c r="E4483" s="29"/>
      <c r="H4483" s="27"/>
      <c r="K4483"/>
      <c r="P4483" s="27"/>
      <c r="Q4483" s="27"/>
      <c r="R4483" s="27"/>
    </row>
    <row r="4484" spans="1:18">
      <c r="A4484" s="28"/>
      <c r="B4484" s="29"/>
      <c r="C4484" s="29"/>
      <c r="D4484" s="29"/>
      <c r="E4484" s="29"/>
      <c r="H4484" s="27"/>
      <c r="K4484"/>
      <c r="P4484" s="27"/>
      <c r="Q4484" s="27"/>
      <c r="R4484" s="27"/>
    </row>
    <row r="4485" spans="1:18">
      <c r="A4485" s="28"/>
      <c r="B4485" s="29"/>
      <c r="C4485" s="29"/>
      <c r="D4485" s="29"/>
      <c r="E4485" s="29"/>
      <c r="H4485" s="27"/>
      <c r="K4485"/>
      <c r="P4485" s="27"/>
      <c r="Q4485" s="27"/>
      <c r="R4485" s="27"/>
    </row>
    <row r="4486" spans="1:18">
      <c r="A4486" s="28"/>
      <c r="B4486" s="29"/>
      <c r="C4486" s="29"/>
      <c r="D4486" s="29"/>
      <c r="E4486" s="29"/>
      <c r="H4486" s="27"/>
      <c r="K4486"/>
      <c r="P4486" s="27"/>
      <c r="Q4486" s="27"/>
      <c r="R4486" s="27"/>
    </row>
    <row r="4487" spans="1:18">
      <c r="A4487" s="28"/>
      <c r="B4487" s="29"/>
      <c r="C4487" s="29"/>
      <c r="D4487" s="29"/>
      <c r="E4487" s="29"/>
      <c r="H4487" s="27"/>
      <c r="K4487"/>
      <c r="P4487" s="27"/>
      <c r="Q4487" s="27"/>
      <c r="R4487" s="27"/>
    </row>
    <row r="4488" spans="1:18">
      <c r="A4488" s="28"/>
      <c r="B4488" s="29"/>
      <c r="C4488" s="29"/>
      <c r="D4488" s="29"/>
      <c r="E4488" s="29"/>
      <c r="H4488" s="27"/>
      <c r="K4488"/>
      <c r="P4488" s="27"/>
      <c r="Q4488" s="27"/>
      <c r="R4488" s="27"/>
    </row>
    <row r="4489" spans="1:18">
      <c r="A4489" s="28"/>
      <c r="B4489" s="29"/>
      <c r="C4489" s="29"/>
      <c r="D4489" s="29"/>
      <c r="E4489" s="29"/>
      <c r="H4489" s="27"/>
      <c r="K4489"/>
      <c r="P4489" s="27"/>
      <c r="Q4489" s="27"/>
      <c r="R4489" s="27"/>
    </row>
    <row r="4490" spans="1:18">
      <c r="A4490" s="28"/>
      <c r="B4490" s="29"/>
      <c r="C4490" s="29"/>
      <c r="D4490" s="29"/>
      <c r="E4490" s="29"/>
      <c r="H4490" s="27"/>
      <c r="K4490"/>
      <c r="P4490" s="27"/>
      <c r="Q4490" s="27"/>
      <c r="R4490" s="27"/>
    </row>
    <row r="4491" spans="1:18">
      <c r="A4491" s="28"/>
      <c r="B4491" s="29"/>
      <c r="C4491" s="29"/>
      <c r="D4491" s="29"/>
      <c r="E4491" s="29"/>
      <c r="H4491" s="27"/>
      <c r="K4491"/>
      <c r="P4491" s="27"/>
      <c r="Q4491" s="27"/>
      <c r="R4491" s="27"/>
    </row>
    <row r="4492" spans="1:18">
      <c r="A4492" s="28"/>
      <c r="B4492" s="29"/>
      <c r="C4492" s="29"/>
      <c r="D4492" s="29"/>
      <c r="E4492" s="29"/>
      <c r="H4492" s="27"/>
      <c r="K4492"/>
      <c r="P4492" s="27"/>
      <c r="Q4492" s="27"/>
      <c r="R4492" s="27"/>
    </row>
    <row r="4493" spans="1:18">
      <c r="A4493" s="28"/>
      <c r="B4493" s="29"/>
      <c r="C4493" s="29"/>
      <c r="D4493" s="29"/>
      <c r="E4493" s="29"/>
      <c r="H4493" s="27"/>
      <c r="K4493"/>
      <c r="P4493" s="27"/>
      <c r="Q4493" s="27"/>
      <c r="R4493" s="27"/>
    </row>
    <row r="4494" spans="1:18">
      <c r="A4494" s="28"/>
      <c r="B4494" s="29"/>
      <c r="C4494" s="29"/>
      <c r="D4494" s="29"/>
      <c r="E4494" s="29"/>
      <c r="H4494" s="27"/>
      <c r="K4494"/>
      <c r="P4494" s="27"/>
      <c r="Q4494" s="27"/>
      <c r="R4494" s="27"/>
    </row>
    <row r="4495" spans="1:18">
      <c r="A4495" s="28"/>
      <c r="B4495" s="29"/>
      <c r="C4495" s="29"/>
      <c r="D4495" s="29"/>
      <c r="E4495" s="29"/>
      <c r="H4495" s="27"/>
      <c r="K4495"/>
      <c r="P4495" s="27"/>
      <c r="Q4495" s="27"/>
      <c r="R4495" s="27"/>
    </row>
    <row r="4496" spans="1:18">
      <c r="A4496" s="28"/>
      <c r="B4496" s="29"/>
      <c r="C4496" s="29"/>
      <c r="D4496" s="29"/>
      <c r="E4496" s="29"/>
      <c r="H4496" s="27"/>
      <c r="K4496"/>
      <c r="P4496" s="27"/>
      <c r="Q4496" s="27"/>
      <c r="R4496" s="27"/>
    </row>
    <row r="4497" spans="1:18">
      <c r="A4497" s="28"/>
      <c r="B4497" s="29"/>
      <c r="C4497" s="29"/>
      <c r="D4497" s="29"/>
      <c r="E4497" s="29"/>
      <c r="H4497" s="27"/>
      <c r="K4497"/>
      <c r="P4497" s="27"/>
      <c r="Q4497" s="27"/>
      <c r="R4497" s="27"/>
    </row>
    <row r="4498" spans="1:18">
      <c r="A4498" s="28"/>
      <c r="B4498" s="29"/>
      <c r="C4498" s="29"/>
      <c r="D4498" s="29"/>
      <c r="E4498" s="29"/>
      <c r="H4498" s="27"/>
      <c r="K4498"/>
      <c r="P4498" s="27"/>
      <c r="Q4498" s="27"/>
      <c r="R4498" s="27"/>
    </row>
    <row r="4499" spans="1:18">
      <c r="A4499" s="28"/>
      <c r="B4499" s="29"/>
      <c r="C4499" s="29"/>
      <c r="D4499" s="29"/>
      <c r="E4499" s="29"/>
      <c r="H4499" s="27"/>
      <c r="K4499"/>
      <c r="P4499" s="27"/>
      <c r="Q4499" s="27"/>
      <c r="R4499" s="27"/>
    </row>
    <row r="4500" spans="1:18">
      <c r="A4500" s="28"/>
      <c r="B4500" s="29"/>
      <c r="C4500" s="29"/>
      <c r="D4500" s="29"/>
      <c r="E4500" s="29"/>
      <c r="H4500" s="27"/>
      <c r="K4500"/>
      <c r="P4500" s="27"/>
      <c r="Q4500" s="27"/>
      <c r="R4500" s="27"/>
    </row>
    <row r="4501" spans="1:18">
      <c r="A4501" s="28"/>
      <c r="B4501" s="29"/>
      <c r="C4501" s="29"/>
      <c r="D4501" s="29"/>
      <c r="E4501" s="29"/>
      <c r="H4501" s="27"/>
      <c r="K4501"/>
      <c r="P4501" s="27"/>
      <c r="Q4501" s="27"/>
      <c r="R4501" s="27"/>
    </row>
    <row r="4502" spans="1:18">
      <c r="A4502" s="28"/>
      <c r="B4502" s="29"/>
      <c r="C4502" s="29"/>
      <c r="D4502" s="29"/>
      <c r="E4502" s="29"/>
      <c r="H4502" s="27"/>
      <c r="K4502"/>
      <c r="P4502" s="27"/>
      <c r="Q4502" s="27"/>
      <c r="R4502" s="27"/>
    </row>
    <row r="4503" spans="1:18">
      <c r="A4503" s="28"/>
      <c r="B4503" s="29"/>
      <c r="C4503" s="29"/>
      <c r="D4503" s="29"/>
      <c r="E4503" s="29"/>
      <c r="H4503" s="27"/>
      <c r="K4503"/>
      <c r="P4503" s="27"/>
      <c r="Q4503" s="27"/>
      <c r="R4503" s="27"/>
    </row>
    <row r="4504" spans="1:18">
      <c r="A4504" s="28"/>
      <c r="B4504" s="29"/>
      <c r="C4504" s="29"/>
      <c r="D4504" s="29"/>
      <c r="E4504" s="29"/>
      <c r="H4504" s="27"/>
      <c r="K4504"/>
      <c r="P4504" s="27"/>
      <c r="Q4504" s="27"/>
      <c r="R4504" s="27"/>
    </row>
    <row r="4505" spans="1:18">
      <c r="A4505" s="28"/>
      <c r="B4505" s="29"/>
      <c r="C4505" s="29"/>
      <c r="D4505" s="29"/>
      <c r="E4505" s="29"/>
      <c r="H4505" s="27"/>
      <c r="K4505"/>
      <c r="P4505" s="27"/>
      <c r="Q4505" s="27"/>
      <c r="R4505" s="27"/>
    </row>
    <row r="4506" spans="1:18">
      <c r="A4506" s="28"/>
      <c r="B4506" s="29"/>
      <c r="C4506" s="29"/>
      <c r="D4506" s="29"/>
      <c r="E4506" s="29"/>
      <c r="H4506" s="27"/>
      <c r="K4506"/>
      <c r="P4506" s="27"/>
      <c r="Q4506" s="27"/>
      <c r="R4506" s="27"/>
    </row>
    <row r="4507" spans="1:18">
      <c r="A4507" s="28"/>
      <c r="B4507" s="29"/>
      <c r="C4507" s="29"/>
      <c r="D4507" s="29"/>
      <c r="E4507" s="29"/>
      <c r="H4507" s="27"/>
      <c r="K4507"/>
      <c r="P4507" s="27"/>
      <c r="Q4507" s="27"/>
      <c r="R4507" s="27"/>
    </row>
    <row r="4508" spans="1:18">
      <c r="A4508" s="28"/>
      <c r="B4508" s="29"/>
      <c r="C4508" s="29"/>
      <c r="D4508" s="29"/>
      <c r="E4508" s="29"/>
      <c r="H4508" s="27"/>
      <c r="K4508"/>
      <c r="P4508" s="27"/>
      <c r="Q4508" s="27"/>
      <c r="R4508" s="27"/>
    </row>
    <row r="4509" spans="1:18">
      <c r="A4509" s="28"/>
      <c r="B4509" s="29"/>
      <c r="C4509" s="29"/>
      <c r="D4509" s="29"/>
      <c r="E4509" s="29"/>
      <c r="H4509" s="27"/>
      <c r="K4509"/>
      <c r="P4509" s="27"/>
      <c r="Q4509" s="27"/>
      <c r="R4509" s="27"/>
    </row>
    <row r="4510" spans="1:18">
      <c r="A4510" s="28"/>
      <c r="B4510" s="29"/>
      <c r="C4510" s="29"/>
      <c r="D4510" s="29"/>
      <c r="E4510" s="29"/>
      <c r="H4510" s="27"/>
      <c r="K4510"/>
      <c r="P4510" s="27"/>
      <c r="Q4510" s="27"/>
      <c r="R4510" s="27"/>
    </row>
    <row r="4511" spans="1:18">
      <c r="A4511" s="28"/>
      <c r="B4511" s="29"/>
      <c r="C4511" s="29"/>
      <c r="D4511" s="29"/>
      <c r="E4511" s="29"/>
      <c r="H4511" s="27"/>
      <c r="K4511"/>
      <c r="P4511" s="27"/>
      <c r="Q4511" s="27"/>
      <c r="R4511" s="27"/>
    </row>
    <row r="4512" spans="1:18">
      <c r="A4512" s="28"/>
      <c r="B4512" s="29"/>
      <c r="C4512" s="29"/>
      <c r="D4512" s="29"/>
      <c r="E4512" s="29"/>
      <c r="H4512" s="27"/>
      <c r="K4512"/>
      <c r="P4512" s="27"/>
      <c r="Q4512" s="27"/>
      <c r="R4512" s="27"/>
    </row>
    <row r="4513" spans="1:18">
      <c r="A4513" s="28"/>
      <c r="B4513" s="29"/>
      <c r="C4513" s="29"/>
      <c r="D4513" s="29"/>
      <c r="E4513" s="29"/>
      <c r="H4513" s="27"/>
      <c r="K4513"/>
      <c r="P4513" s="27"/>
      <c r="Q4513" s="27"/>
      <c r="R4513" s="27"/>
    </row>
    <row r="4514" spans="1:18">
      <c r="A4514" s="28"/>
      <c r="B4514" s="29"/>
      <c r="C4514" s="29"/>
      <c r="D4514" s="29"/>
      <c r="E4514" s="29"/>
      <c r="H4514" s="27"/>
      <c r="K4514"/>
      <c r="P4514" s="27"/>
      <c r="Q4514" s="27"/>
      <c r="R4514" s="27"/>
    </row>
    <row r="4515" spans="1:18">
      <c r="A4515" s="28"/>
      <c r="B4515" s="29"/>
      <c r="C4515" s="29"/>
      <c r="D4515" s="29"/>
      <c r="E4515" s="29"/>
      <c r="H4515" s="27"/>
      <c r="K4515"/>
      <c r="P4515" s="27"/>
      <c r="Q4515" s="27"/>
      <c r="R4515" s="27"/>
    </row>
    <row r="4516" spans="1:18">
      <c r="A4516" s="28"/>
      <c r="B4516" s="29"/>
      <c r="C4516" s="29"/>
      <c r="D4516" s="29"/>
      <c r="E4516" s="29"/>
      <c r="H4516" s="27"/>
      <c r="K4516"/>
      <c r="P4516" s="27"/>
      <c r="Q4516" s="27"/>
      <c r="R4516" s="27"/>
    </row>
    <row r="4517" spans="1:18">
      <c r="A4517" s="28"/>
      <c r="B4517" s="29"/>
      <c r="C4517" s="29"/>
      <c r="D4517" s="29"/>
      <c r="E4517" s="29"/>
      <c r="H4517" s="27"/>
      <c r="K4517"/>
      <c r="P4517" s="27"/>
      <c r="Q4517" s="27"/>
      <c r="R4517" s="27"/>
    </row>
    <row r="4518" spans="1:18">
      <c r="A4518" s="28"/>
      <c r="B4518" s="29"/>
      <c r="C4518" s="29"/>
      <c r="D4518" s="29"/>
      <c r="E4518" s="29"/>
      <c r="H4518" s="27"/>
      <c r="K4518"/>
      <c r="P4518" s="27"/>
      <c r="Q4518" s="27"/>
      <c r="R4518" s="27"/>
    </row>
    <row r="4519" spans="1:18">
      <c r="A4519" s="28"/>
      <c r="B4519" s="29"/>
      <c r="C4519" s="29"/>
      <c r="D4519" s="29"/>
      <c r="E4519" s="29"/>
      <c r="H4519" s="27"/>
      <c r="K4519"/>
      <c r="P4519" s="27"/>
      <c r="Q4519" s="27"/>
      <c r="R4519" s="27"/>
    </row>
    <row r="4520" spans="1:18">
      <c r="A4520" s="28"/>
      <c r="B4520" s="29"/>
      <c r="C4520" s="29"/>
      <c r="D4520" s="29"/>
      <c r="E4520" s="29"/>
      <c r="H4520" s="27"/>
      <c r="K4520"/>
      <c r="P4520" s="27"/>
      <c r="Q4520" s="27"/>
      <c r="R4520" s="27"/>
    </row>
    <row r="4521" spans="1:18">
      <c r="A4521" s="28"/>
      <c r="B4521" s="29"/>
      <c r="C4521" s="29"/>
      <c r="D4521" s="29"/>
      <c r="E4521" s="29"/>
      <c r="H4521" s="27"/>
      <c r="K4521"/>
      <c r="P4521" s="27"/>
      <c r="Q4521" s="27"/>
      <c r="R4521" s="27"/>
    </row>
    <row r="4522" spans="1:18">
      <c r="A4522" s="28"/>
      <c r="B4522" s="29"/>
      <c r="C4522" s="29"/>
      <c r="D4522" s="29"/>
      <c r="E4522" s="29"/>
      <c r="H4522" s="27"/>
      <c r="K4522"/>
      <c r="P4522" s="27"/>
      <c r="Q4522" s="27"/>
      <c r="R4522" s="27"/>
    </row>
    <row r="4523" spans="1:18">
      <c r="A4523" s="28"/>
      <c r="B4523" s="29"/>
      <c r="C4523" s="29"/>
      <c r="D4523" s="29"/>
      <c r="E4523" s="29"/>
      <c r="H4523" s="27"/>
      <c r="K4523"/>
      <c r="P4523" s="27"/>
      <c r="Q4523" s="27"/>
      <c r="R4523" s="27"/>
    </row>
    <row r="4524" spans="1:18">
      <c r="A4524" s="28"/>
      <c r="B4524" s="29"/>
      <c r="C4524" s="29"/>
      <c r="D4524" s="29"/>
      <c r="E4524" s="29"/>
      <c r="H4524" s="27"/>
      <c r="K4524"/>
      <c r="P4524" s="27"/>
      <c r="Q4524" s="27"/>
      <c r="R4524" s="27"/>
    </row>
    <row r="4525" spans="1:18">
      <c r="A4525" s="28"/>
      <c r="B4525" s="29"/>
      <c r="C4525" s="29"/>
      <c r="D4525" s="29"/>
      <c r="E4525" s="29"/>
      <c r="H4525" s="27"/>
      <c r="K4525"/>
      <c r="P4525" s="27"/>
      <c r="Q4525" s="27"/>
      <c r="R4525" s="27"/>
    </row>
    <row r="4526" spans="1:18">
      <c r="A4526" s="28"/>
      <c r="B4526" s="29"/>
      <c r="C4526" s="29"/>
      <c r="D4526" s="29"/>
      <c r="E4526" s="29"/>
      <c r="H4526" s="27"/>
      <c r="K4526"/>
      <c r="P4526" s="27"/>
      <c r="Q4526" s="27"/>
      <c r="R4526" s="27"/>
    </row>
    <row r="4527" spans="1:18">
      <c r="A4527" s="28"/>
      <c r="B4527" s="29"/>
      <c r="C4527" s="29"/>
      <c r="D4527" s="29"/>
      <c r="E4527" s="29"/>
      <c r="H4527" s="27"/>
      <c r="K4527"/>
      <c r="P4527" s="27"/>
      <c r="Q4527" s="27"/>
      <c r="R4527" s="27"/>
    </row>
    <row r="4528" spans="1:18">
      <c r="A4528" s="28"/>
      <c r="B4528" s="29"/>
      <c r="C4528" s="29"/>
      <c r="D4528" s="29"/>
      <c r="E4528" s="29"/>
      <c r="H4528" s="27"/>
      <c r="K4528"/>
      <c r="P4528" s="27"/>
      <c r="Q4528" s="27"/>
      <c r="R4528" s="27"/>
    </row>
    <row r="4529" spans="1:18">
      <c r="A4529" s="28"/>
      <c r="B4529" s="29"/>
      <c r="C4529" s="29"/>
      <c r="D4529" s="29"/>
      <c r="E4529" s="29"/>
      <c r="H4529" s="27"/>
      <c r="K4529"/>
      <c r="P4529" s="27"/>
      <c r="Q4529" s="27"/>
      <c r="R4529" s="27"/>
    </row>
    <row r="4530" spans="1:18">
      <c r="A4530" s="28"/>
      <c r="B4530" s="29"/>
      <c r="C4530" s="29"/>
      <c r="D4530" s="29"/>
      <c r="E4530" s="29"/>
      <c r="H4530" s="27"/>
      <c r="K4530"/>
      <c r="P4530" s="27"/>
      <c r="Q4530" s="27"/>
      <c r="R4530" s="27"/>
    </row>
    <row r="4531" spans="1:18">
      <c r="A4531" s="28"/>
      <c r="B4531" s="29"/>
      <c r="C4531" s="29"/>
      <c r="D4531" s="29"/>
      <c r="E4531" s="29"/>
      <c r="H4531" s="27"/>
      <c r="K4531"/>
      <c r="P4531" s="27"/>
      <c r="Q4531" s="27"/>
      <c r="R4531" s="27"/>
    </row>
    <row r="4532" spans="1:18">
      <c r="A4532" s="28"/>
      <c r="B4532" s="29"/>
      <c r="C4532" s="29"/>
      <c r="D4532" s="29"/>
      <c r="E4532" s="29"/>
      <c r="H4532" s="27"/>
      <c r="K4532"/>
      <c r="P4532" s="27"/>
      <c r="Q4532" s="27"/>
      <c r="R4532" s="27"/>
    </row>
    <row r="4533" spans="1:18">
      <c r="A4533" s="28"/>
      <c r="B4533" s="29"/>
      <c r="C4533" s="29"/>
      <c r="D4533" s="29"/>
      <c r="E4533" s="29"/>
      <c r="H4533" s="27"/>
      <c r="K4533"/>
      <c r="P4533" s="27"/>
      <c r="Q4533" s="27"/>
      <c r="R4533" s="27"/>
    </row>
    <row r="4534" spans="1:18">
      <c r="A4534" s="28"/>
      <c r="B4534" s="29"/>
      <c r="C4534" s="29"/>
      <c r="D4534" s="29"/>
      <c r="E4534" s="29"/>
      <c r="H4534" s="27"/>
      <c r="K4534"/>
      <c r="P4534" s="27"/>
      <c r="Q4534" s="27"/>
      <c r="R4534" s="27"/>
    </row>
    <row r="4535" spans="1:18">
      <c r="A4535" s="28"/>
      <c r="B4535" s="29"/>
      <c r="C4535" s="29"/>
      <c r="D4535" s="29"/>
      <c r="E4535" s="29"/>
      <c r="H4535" s="27"/>
      <c r="K4535"/>
      <c r="P4535" s="27"/>
      <c r="Q4535" s="27"/>
      <c r="R4535" s="27"/>
    </row>
    <row r="4536" spans="1:18">
      <c r="A4536" s="28"/>
      <c r="B4536" s="29"/>
      <c r="C4536" s="29"/>
      <c r="D4536" s="29"/>
      <c r="E4536" s="29"/>
      <c r="H4536" s="27"/>
      <c r="K4536"/>
      <c r="P4536" s="27"/>
      <c r="Q4536" s="27"/>
      <c r="R4536" s="27"/>
    </row>
    <row r="4537" spans="1:18">
      <c r="A4537" s="28"/>
      <c r="B4537" s="29"/>
      <c r="C4537" s="29"/>
      <c r="D4537" s="29"/>
      <c r="E4537" s="29"/>
      <c r="H4537" s="27"/>
      <c r="K4537"/>
      <c r="P4537" s="27"/>
      <c r="Q4537" s="27"/>
      <c r="R4537" s="27"/>
    </row>
    <row r="4538" spans="1:18">
      <c r="A4538" s="28"/>
      <c r="B4538" s="29"/>
      <c r="C4538" s="29"/>
      <c r="D4538" s="29"/>
      <c r="E4538" s="29"/>
      <c r="H4538" s="27"/>
      <c r="K4538"/>
      <c r="P4538" s="27"/>
      <c r="Q4538" s="27"/>
      <c r="R4538" s="27"/>
    </row>
    <row r="4539" spans="1:18">
      <c r="A4539" s="28"/>
      <c r="B4539" s="29"/>
      <c r="C4539" s="29"/>
      <c r="D4539" s="29"/>
      <c r="E4539" s="29"/>
      <c r="H4539" s="27"/>
      <c r="K4539"/>
      <c r="P4539" s="27"/>
      <c r="Q4539" s="27"/>
      <c r="R4539" s="27"/>
    </row>
    <row r="4540" spans="1:18">
      <c r="A4540" s="28"/>
      <c r="B4540" s="29"/>
      <c r="C4540" s="29"/>
      <c r="D4540" s="29"/>
      <c r="E4540" s="29"/>
      <c r="H4540" s="27"/>
      <c r="K4540"/>
      <c r="P4540" s="27"/>
      <c r="Q4540" s="27"/>
      <c r="R4540" s="27"/>
    </row>
    <row r="4541" spans="1:18">
      <c r="A4541" s="28"/>
      <c r="B4541" s="29"/>
      <c r="C4541" s="29"/>
      <c r="D4541" s="29"/>
      <c r="E4541" s="29"/>
      <c r="H4541" s="27"/>
      <c r="K4541"/>
      <c r="P4541" s="27"/>
      <c r="Q4541" s="27"/>
      <c r="R4541" s="27"/>
    </row>
    <row r="4542" spans="1:18">
      <c r="A4542" s="28"/>
      <c r="B4542" s="29"/>
      <c r="C4542" s="29"/>
      <c r="D4542" s="29"/>
      <c r="E4542" s="29"/>
      <c r="H4542" s="27"/>
      <c r="K4542"/>
      <c r="P4542" s="27"/>
      <c r="Q4542" s="27"/>
      <c r="R4542" s="27"/>
    </row>
    <row r="4543" spans="1:18">
      <c r="A4543" s="28"/>
      <c r="B4543" s="29"/>
      <c r="C4543" s="29"/>
      <c r="D4543" s="29"/>
      <c r="E4543" s="29"/>
      <c r="H4543" s="27"/>
      <c r="K4543"/>
      <c r="P4543" s="27"/>
      <c r="Q4543" s="27"/>
      <c r="R4543" s="27"/>
    </row>
    <row r="4544" spans="1:18">
      <c r="A4544" s="28"/>
      <c r="B4544" s="29"/>
      <c r="C4544" s="29"/>
      <c r="D4544" s="29"/>
      <c r="E4544" s="29"/>
      <c r="H4544" s="27"/>
      <c r="K4544"/>
      <c r="P4544" s="27"/>
      <c r="Q4544" s="27"/>
      <c r="R4544" s="27"/>
    </row>
    <row r="4545" spans="1:18">
      <c r="A4545" s="28"/>
      <c r="B4545" s="29"/>
      <c r="C4545" s="29"/>
      <c r="D4545" s="29"/>
      <c r="E4545" s="29"/>
      <c r="H4545" s="27"/>
      <c r="K4545"/>
      <c r="P4545" s="27"/>
      <c r="Q4545" s="27"/>
      <c r="R4545" s="27"/>
    </row>
    <row r="4546" spans="1:18">
      <c r="A4546" s="28"/>
      <c r="B4546" s="29"/>
      <c r="C4546" s="29"/>
      <c r="D4546" s="29"/>
      <c r="E4546" s="29"/>
      <c r="H4546" s="27"/>
      <c r="K4546"/>
      <c r="P4546" s="27"/>
      <c r="Q4546" s="27"/>
      <c r="R4546" s="27"/>
    </row>
    <row r="4547" spans="1:18">
      <c r="A4547" s="28"/>
      <c r="B4547" s="29"/>
      <c r="C4547" s="29"/>
      <c r="D4547" s="29"/>
      <c r="E4547" s="29"/>
      <c r="H4547" s="27"/>
      <c r="K4547"/>
      <c r="P4547" s="27"/>
      <c r="Q4547" s="27"/>
      <c r="R4547" s="27"/>
    </row>
    <row r="4548" spans="1:18">
      <c r="A4548" s="28"/>
      <c r="B4548" s="29"/>
      <c r="C4548" s="29"/>
      <c r="D4548" s="29"/>
      <c r="E4548" s="29"/>
      <c r="H4548" s="27"/>
      <c r="K4548"/>
      <c r="P4548" s="27"/>
      <c r="Q4548" s="27"/>
      <c r="R4548" s="27"/>
    </row>
    <row r="4549" spans="1:18">
      <c r="A4549" s="28"/>
      <c r="B4549" s="29"/>
      <c r="C4549" s="29"/>
      <c r="D4549" s="29"/>
      <c r="E4549" s="29"/>
      <c r="H4549" s="27"/>
      <c r="K4549"/>
      <c r="P4549" s="27"/>
      <c r="Q4549" s="27"/>
      <c r="R4549" s="27"/>
    </row>
    <row r="4550" spans="1:18">
      <c r="A4550" s="28"/>
      <c r="B4550" s="29"/>
      <c r="C4550" s="29"/>
      <c r="D4550" s="29"/>
      <c r="E4550" s="29"/>
      <c r="H4550" s="27"/>
      <c r="K4550"/>
      <c r="P4550" s="27"/>
      <c r="Q4550" s="27"/>
      <c r="R4550" s="27"/>
    </row>
    <row r="4551" spans="1:18">
      <c r="A4551" s="28"/>
      <c r="B4551" s="29"/>
      <c r="C4551" s="29"/>
      <c r="D4551" s="29"/>
      <c r="E4551" s="29"/>
      <c r="H4551" s="27"/>
      <c r="K4551"/>
      <c r="P4551" s="27"/>
      <c r="Q4551" s="27"/>
      <c r="R4551" s="27"/>
    </row>
    <row r="4552" spans="1:18">
      <c r="A4552" s="28"/>
      <c r="B4552" s="29"/>
      <c r="C4552" s="29"/>
      <c r="D4552" s="29"/>
      <c r="E4552" s="29"/>
      <c r="H4552" s="27"/>
      <c r="K4552"/>
      <c r="P4552" s="27"/>
      <c r="Q4552" s="27"/>
      <c r="R4552" s="27"/>
    </row>
    <row r="4553" spans="1:18">
      <c r="A4553" s="28"/>
      <c r="B4553" s="29"/>
      <c r="C4553" s="29"/>
      <c r="D4553" s="29"/>
      <c r="E4553" s="29"/>
      <c r="H4553" s="27"/>
      <c r="K4553"/>
      <c r="P4553" s="27"/>
      <c r="Q4553" s="27"/>
      <c r="R4553" s="27"/>
    </row>
    <row r="4554" spans="1:18">
      <c r="A4554" s="28"/>
      <c r="B4554" s="29"/>
      <c r="C4554" s="29"/>
      <c r="D4554" s="29"/>
      <c r="E4554" s="29"/>
      <c r="H4554" s="27"/>
      <c r="K4554"/>
      <c r="P4554" s="27"/>
      <c r="Q4554" s="27"/>
      <c r="R4554" s="27"/>
    </row>
    <row r="4555" spans="1:18">
      <c r="A4555" s="28"/>
      <c r="B4555" s="29"/>
      <c r="C4555" s="29"/>
      <c r="D4555" s="29"/>
      <c r="E4555" s="29"/>
      <c r="H4555" s="27"/>
      <c r="K4555"/>
      <c r="P4555" s="27"/>
      <c r="Q4555" s="27"/>
      <c r="R4555" s="27"/>
    </row>
    <row r="4556" spans="1:18">
      <c r="A4556" s="28"/>
      <c r="B4556" s="29"/>
      <c r="C4556" s="29"/>
      <c r="D4556" s="29"/>
      <c r="E4556" s="29"/>
      <c r="H4556" s="27"/>
      <c r="K4556"/>
      <c r="P4556" s="27"/>
      <c r="Q4556" s="27"/>
      <c r="R4556" s="27"/>
    </row>
    <row r="4557" spans="1:18">
      <c r="A4557" s="28"/>
      <c r="B4557" s="29"/>
      <c r="C4557" s="29"/>
      <c r="D4557" s="29"/>
      <c r="E4557" s="29"/>
      <c r="H4557" s="27"/>
      <c r="K4557"/>
      <c r="P4557" s="27"/>
      <c r="Q4557" s="27"/>
      <c r="R4557" s="27"/>
    </row>
    <row r="4558" spans="1:18">
      <c r="A4558" s="28"/>
      <c r="B4558" s="29"/>
      <c r="C4558" s="29"/>
      <c r="D4558" s="29"/>
      <c r="E4558" s="29"/>
      <c r="H4558" s="27"/>
      <c r="K4558"/>
      <c r="P4558" s="27"/>
      <c r="Q4558" s="27"/>
      <c r="R4558" s="27"/>
    </row>
    <row r="4559" spans="1:18">
      <c r="A4559" s="28"/>
      <c r="B4559" s="29"/>
      <c r="C4559" s="29"/>
      <c r="D4559" s="29"/>
      <c r="E4559" s="29"/>
      <c r="H4559" s="27"/>
      <c r="K4559"/>
      <c r="P4559" s="27"/>
      <c r="Q4559" s="27"/>
      <c r="R4559" s="27"/>
    </row>
    <row r="4560" spans="1:18">
      <c r="A4560" s="28"/>
      <c r="B4560" s="29"/>
      <c r="C4560" s="29"/>
      <c r="D4560" s="29"/>
      <c r="E4560" s="29"/>
      <c r="H4560" s="27"/>
      <c r="K4560"/>
      <c r="P4560" s="27"/>
      <c r="Q4560" s="27"/>
      <c r="R4560" s="27"/>
    </row>
    <row r="4561" spans="1:18">
      <c r="A4561" s="28"/>
      <c r="B4561" s="29"/>
      <c r="C4561" s="29"/>
      <c r="D4561" s="29"/>
      <c r="E4561" s="29"/>
      <c r="H4561" s="27"/>
      <c r="K4561"/>
      <c r="P4561" s="27"/>
      <c r="Q4561" s="27"/>
      <c r="R4561" s="27"/>
    </row>
    <row r="4562" spans="1:18">
      <c r="A4562" s="28"/>
      <c r="B4562" s="29"/>
      <c r="C4562" s="29"/>
      <c r="D4562" s="29"/>
      <c r="E4562" s="29"/>
      <c r="H4562" s="27"/>
      <c r="K4562"/>
      <c r="P4562" s="27"/>
      <c r="Q4562" s="27"/>
      <c r="R4562" s="27"/>
    </row>
    <row r="4563" spans="1:18">
      <c r="A4563" s="28"/>
      <c r="B4563" s="29"/>
      <c r="C4563" s="29"/>
      <c r="D4563" s="29"/>
      <c r="E4563" s="29"/>
      <c r="H4563" s="27"/>
      <c r="K4563"/>
      <c r="P4563" s="27"/>
      <c r="Q4563" s="27"/>
      <c r="R4563" s="27"/>
    </row>
    <row r="4564" spans="1:18">
      <c r="A4564" s="28"/>
      <c r="B4564" s="29"/>
      <c r="C4564" s="29"/>
      <c r="D4564" s="29"/>
      <c r="E4564" s="29"/>
      <c r="H4564" s="27"/>
      <c r="K4564"/>
      <c r="P4564" s="27"/>
      <c r="Q4564" s="27"/>
      <c r="R4564" s="27"/>
    </row>
    <row r="4565" spans="1:18">
      <c r="A4565" s="28"/>
      <c r="B4565" s="29"/>
      <c r="C4565" s="29"/>
      <c r="D4565" s="29"/>
      <c r="E4565" s="29"/>
      <c r="H4565" s="27"/>
      <c r="K4565"/>
      <c r="P4565" s="27"/>
      <c r="Q4565" s="27"/>
      <c r="R4565" s="27"/>
    </row>
    <row r="4566" spans="1:18">
      <c r="A4566" s="28"/>
      <c r="B4566" s="29"/>
      <c r="C4566" s="29"/>
      <c r="D4566" s="29"/>
      <c r="E4566" s="29"/>
      <c r="H4566" s="27"/>
      <c r="K4566"/>
      <c r="P4566" s="27"/>
      <c r="Q4566" s="27"/>
      <c r="R4566" s="27"/>
    </row>
    <row r="4567" spans="1:18">
      <c r="A4567" s="28"/>
      <c r="B4567" s="29"/>
      <c r="C4567" s="29"/>
      <c r="D4567" s="29"/>
      <c r="E4567" s="29"/>
      <c r="H4567" s="27"/>
      <c r="K4567"/>
      <c r="P4567" s="27"/>
      <c r="Q4567" s="27"/>
      <c r="R4567" s="27"/>
    </row>
    <row r="4568" spans="1:18">
      <c r="A4568" s="28"/>
      <c r="B4568" s="29"/>
      <c r="C4568" s="29"/>
      <c r="D4568" s="29"/>
      <c r="E4568" s="29"/>
      <c r="H4568" s="27"/>
      <c r="K4568"/>
      <c r="P4568" s="27"/>
      <c r="Q4568" s="27"/>
      <c r="R4568" s="27"/>
    </row>
    <row r="4569" spans="1:18">
      <c r="A4569" s="28"/>
      <c r="B4569" s="29"/>
      <c r="C4569" s="29"/>
      <c r="D4569" s="29"/>
      <c r="E4569" s="29"/>
      <c r="H4569" s="27"/>
      <c r="K4569"/>
      <c r="P4569" s="27"/>
      <c r="Q4569" s="27"/>
      <c r="R4569" s="27"/>
    </row>
    <row r="4570" spans="1:18">
      <c r="A4570" s="28"/>
      <c r="B4570" s="29"/>
      <c r="C4570" s="29"/>
      <c r="D4570" s="29"/>
      <c r="E4570" s="29"/>
      <c r="H4570" s="27"/>
      <c r="K4570"/>
      <c r="P4570" s="27"/>
      <c r="Q4570" s="27"/>
      <c r="R4570" s="27"/>
    </row>
    <row r="4571" spans="1:18">
      <c r="A4571" s="28"/>
      <c r="B4571" s="29"/>
      <c r="C4571" s="29"/>
      <c r="D4571" s="29"/>
      <c r="E4571" s="29"/>
      <c r="H4571" s="27"/>
      <c r="K4571"/>
      <c r="P4571" s="27"/>
      <c r="Q4571" s="27"/>
      <c r="R4571" s="27"/>
    </row>
    <row r="4572" spans="1:18">
      <c r="A4572" s="28"/>
      <c r="B4572" s="29"/>
      <c r="C4572" s="29"/>
      <c r="D4572" s="29"/>
      <c r="E4572" s="29"/>
      <c r="H4572" s="27"/>
      <c r="K4572"/>
      <c r="P4572" s="27"/>
      <c r="Q4572" s="27"/>
      <c r="R4572" s="27"/>
    </row>
    <row r="4573" spans="1:18">
      <c r="A4573" s="28"/>
      <c r="B4573" s="29"/>
      <c r="C4573" s="29"/>
      <c r="D4573" s="29"/>
      <c r="E4573" s="29"/>
      <c r="H4573" s="27"/>
      <c r="K4573"/>
      <c r="P4573" s="27"/>
      <c r="Q4573" s="27"/>
      <c r="R4573" s="27"/>
    </row>
    <row r="4574" spans="1:18">
      <c r="A4574" s="28"/>
      <c r="B4574" s="29"/>
      <c r="C4574" s="29"/>
      <c r="D4574" s="29"/>
      <c r="E4574" s="29"/>
      <c r="H4574" s="27"/>
      <c r="K4574"/>
      <c r="P4574" s="27"/>
      <c r="Q4574" s="27"/>
      <c r="R4574" s="27"/>
    </row>
    <row r="4575" spans="1:18">
      <c r="A4575" s="28"/>
      <c r="B4575" s="29"/>
      <c r="C4575" s="29"/>
      <c r="D4575" s="29"/>
      <c r="E4575" s="29"/>
      <c r="H4575" s="27"/>
      <c r="K4575"/>
      <c r="P4575" s="27"/>
      <c r="Q4575" s="27"/>
      <c r="R4575" s="27"/>
    </row>
    <row r="4576" spans="1:18">
      <c r="A4576" s="28"/>
      <c r="B4576" s="29"/>
      <c r="C4576" s="29"/>
      <c r="D4576" s="29"/>
      <c r="E4576" s="29"/>
      <c r="H4576" s="27"/>
      <c r="K4576"/>
      <c r="P4576" s="27"/>
      <c r="Q4576" s="27"/>
      <c r="R4576" s="27"/>
    </row>
    <row r="4577" spans="1:18">
      <c r="A4577" s="28"/>
      <c r="B4577" s="29"/>
      <c r="C4577" s="29"/>
      <c r="D4577" s="29"/>
      <c r="E4577" s="29"/>
      <c r="H4577" s="27"/>
      <c r="K4577"/>
      <c r="P4577" s="27"/>
      <c r="Q4577" s="27"/>
      <c r="R4577" s="27"/>
    </row>
    <row r="4578" spans="1:18">
      <c r="A4578" s="28"/>
      <c r="B4578" s="29"/>
      <c r="C4578" s="29"/>
      <c r="D4578" s="29"/>
      <c r="E4578" s="29"/>
      <c r="H4578" s="27"/>
      <c r="K4578"/>
      <c r="P4578" s="27"/>
      <c r="Q4578" s="27"/>
      <c r="R4578" s="27"/>
    </row>
    <row r="4579" spans="1:18">
      <c r="A4579" s="28"/>
      <c r="B4579" s="29"/>
      <c r="C4579" s="29"/>
      <c r="D4579" s="29"/>
      <c r="E4579" s="29"/>
      <c r="H4579" s="27"/>
      <c r="K4579"/>
      <c r="P4579" s="27"/>
      <c r="Q4579" s="27"/>
      <c r="R4579" s="27"/>
    </row>
    <row r="4580" spans="1:18">
      <c r="A4580" s="28"/>
      <c r="B4580" s="29"/>
      <c r="C4580" s="29"/>
      <c r="D4580" s="29"/>
      <c r="E4580" s="29"/>
      <c r="H4580" s="27"/>
      <c r="K4580"/>
      <c r="P4580" s="27"/>
      <c r="Q4580" s="27"/>
      <c r="R4580" s="27"/>
    </row>
    <row r="4581" spans="1:18">
      <c r="A4581" s="28"/>
      <c r="B4581" s="29"/>
      <c r="C4581" s="29"/>
      <c r="D4581" s="29"/>
      <c r="E4581" s="29"/>
      <c r="H4581" s="27"/>
      <c r="K4581"/>
      <c r="P4581" s="27"/>
      <c r="Q4581" s="27"/>
      <c r="R4581" s="27"/>
    </row>
    <row r="4582" spans="1:18">
      <c r="A4582" s="28"/>
      <c r="B4582" s="29"/>
      <c r="C4582" s="29"/>
      <c r="D4582" s="29"/>
      <c r="E4582" s="29"/>
      <c r="H4582" s="27"/>
      <c r="K4582"/>
      <c r="P4582" s="27"/>
      <c r="Q4582" s="27"/>
      <c r="R4582" s="27"/>
    </row>
    <row r="4583" spans="1:18">
      <c r="A4583" s="28"/>
      <c r="B4583" s="29"/>
      <c r="C4583" s="29"/>
      <c r="D4583" s="29"/>
      <c r="E4583" s="29"/>
      <c r="H4583" s="27"/>
      <c r="K4583"/>
      <c r="P4583" s="27"/>
      <c r="Q4583" s="27"/>
      <c r="R4583" s="27"/>
    </row>
    <row r="4584" spans="1:18">
      <c r="A4584" s="28"/>
      <c r="B4584" s="29"/>
      <c r="C4584" s="29"/>
      <c r="D4584" s="29"/>
      <c r="E4584" s="29"/>
      <c r="H4584" s="27"/>
      <c r="K4584"/>
      <c r="P4584" s="27"/>
      <c r="Q4584" s="27"/>
      <c r="R4584" s="27"/>
    </row>
    <row r="4585" spans="1:18">
      <c r="A4585" s="28"/>
      <c r="B4585" s="29"/>
      <c r="C4585" s="29"/>
      <c r="D4585" s="29"/>
      <c r="E4585" s="29"/>
      <c r="H4585" s="27"/>
      <c r="K4585"/>
      <c r="P4585" s="27"/>
      <c r="Q4585" s="27"/>
      <c r="R4585" s="27"/>
    </row>
    <row r="4586" spans="1:18">
      <c r="A4586" s="28"/>
      <c r="B4586" s="29"/>
      <c r="C4586" s="29"/>
      <c r="D4586" s="29"/>
      <c r="E4586" s="29"/>
      <c r="H4586" s="27"/>
      <c r="K4586"/>
      <c r="P4586" s="27"/>
      <c r="Q4586" s="27"/>
      <c r="R4586" s="27"/>
    </row>
    <row r="4587" spans="1:18">
      <c r="A4587" s="28"/>
      <c r="B4587" s="29"/>
      <c r="C4587" s="29"/>
      <c r="D4587" s="29"/>
      <c r="E4587" s="29"/>
      <c r="H4587" s="27"/>
      <c r="K4587"/>
      <c r="P4587" s="27"/>
      <c r="Q4587" s="27"/>
      <c r="R4587" s="27"/>
    </row>
    <row r="4588" spans="1:18">
      <c r="A4588" s="28"/>
      <c r="B4588" s="29"/>
      <c r="C4588" s="29"/>
      <c r="D4588" s="29"/>
      <c r="E4588" s="29"/>
      <c r="H4588" s="27"/>
      <c r="K4588"/>
      <c r="P4588" s="27"/>
      <c r="Q4588" s="27"/>
      <c r="R4588" s="27"/>
    </row>
    <row r="4589" spans="1:18">
      <c r="A4589" s="28"/>
      <c r="B4589" s="29"/>
      <c r="C4589" s="29"/>
      <c r="D4589" s="29"/>
      <c r="E4589" s="29"/>
      <c r="H4589" s="27"/>
      <c r="K4589"/>
      <c r="P4589" s="27"/>
      <c r="Q4589" s="27"/>
      <c r="R4589" s="27"/>
    </row>
    <row r="4590" spans="1:18">
      <c r="A4590" s="28"/>
      <c r="B4590" s="29"/>
      <c r="C4590" s="29"/>
      <c r="D4590" s="29"/>
      <c r="E4590" s="29"/>
      <c r="H4590" s="27"/>
      <c r="K4590"/>
      <c r="P4590" s="27"/>
      <c r="Q4590" s="27"/>
      <c r="R4590" s="27"/>
    </row>
    <row r="4591" spans="1:18">
      <c r="A4591" s="28"/>
      <c r="B4591" s="29"/>
      <c r="C4591" s="29"/>
      <c r="D4591" s="29"/>
      <c r="E4591" s="29"/>
      <c r="H4591" s="27"/>
      <c r="K4591"/>
      <c r="P4591" s="27"/>
      <c r="Q4591" s="27"/>
      <c r="R4591" s="27"/>
    </row>
    <row r="4592" spans="1:18">
      <c r="A4592" s="28"/>
      <c r="B4592" s="29"/>
      <c r="C4592" s="29"/>
      <c r="D4592" s="29"/>
      <c r="E4592" s="29"/>
      <c r="H4592" s="27"/>
      <c r="K4592"/>
      <c r="P4592" s="27"/>
      <c r="Q4592" s="27"/>
      <c r="R4592" s="27"/>
    </row>
    <row r="4593" spans="1:18">
      <c r="A4593" s="28"/>
      <c r="B4593" s="29"/>
      <c r="C4593" s="29"/>
      <c r="D4593" s="29"/>
      <c r="E4593" s="29"/>
      <c r="H4593" s="27"/>
      <c r="K4593"/>
      <c r="P4593" s="27"/>
      <c r="Q4593" s="27"/>
      <c r="R4593" s="27"/>
    </row>
    <row r="4594" spans="1:18">
      <c r="A4594" s="28"/>
      <c r="B4594" s="29"/>
      <c r="C4594" s="29"/>
      <c r="D4594" s="29"/>
      <c r="E4594" s="29"/>
      <c r="H4594" s="27"/>
      <c r="K4594"/>
      <c r="P4594" s="27"/>
      <c r="Q4594" s="27"/>
      <c r="R4594" s="27"/>
    </row>
    <row r="4595" spans="1:18">
      <c r="A4595" s="28"/>
      <c r="B4595" s="29"/>
      <c r="C4595" s="29"/>
      <c r="D4595" s="29"/>
      <c r="E4595" s="29"/>
      <c r="H4595" s="27"/>
      <c r="K4595"/>
      <c r="P4595" s="27"/>
      <c r="Q4595" s="27"/>
      <c r="R4595" s="27"/>
    </row>
    <row r="4596" spans="1:18">
      <c r="A4596" s="28"/>
      <c r="B4596" s="29"/>
      <c r="C4596" s="29"/>
      <c r="D4596" s="29"/>
      <c r="E4596" s="29"/>
      <c r="H4596" s="27"/>
      <c r="K4596"/>
      <c r="P4596" s="27"/>
      <c r="Q4596" s="27"/>
      <c r="R4596" s="27"/>
    </row>
    <row r="4597" spans="1:18">
      <c r="A4597" s="28"/>
      <c r="B4597" s="29"/>
      <c r="C4597" s="29"/>
      <c r="D4597" s="29"/>
      <c r="E4597" s="29"/>
      <c r="H4597" s="27"/>
      <c r="K4597"/>
      <c r="P4597" s="27"/>
      <c r="Q4597" s="27"/>
      <c r="R4597" s="27"/>
    </row>
    <row r="4598" spans="1:18">
      <c r="A4598" s="28"/>
      <c r="B4598" s="29"/>
      <c r="C4598" s="29"/>
      <c r="D4598" s="29"/>
      <c r="E4598" s="29"/>
      <c r="H4598" s="27"/>
      <c r="K4598"/>
      <c r="P4598" s="27"/>
      <c r="Q4598" s="27"/>
      <c r="R4598" s="27"/>
    </row>
    <row r="4599" spans="1:18">
      <c r="A4599" s="28"/>
      <c r="B4599" s="29"/>
      <c r="C4599" s="29"/>
      <c r="D4599" s="29"/>
      <c r="E4599" s="29"/>
      <c r="H4599" s="27"/>
      <c r="K4599"/>
      <c r="P4599" s="27"/>
      <c r="Q4599" s="27"/>
      <c r="R4599" s="27"/>
    </row>
    <row r="4600" spans="1:18">
      <c r="A4600" s="28"/>
      <c r="B4600" s="29"/>
      <c r="C4600" s="29"/>
      <c r="D4600" s="29"/>
      <c r="E4600" s="29"/>
      <c r="H4600" s="27"/>
      <c r="K4600"/>
      <c r="P4600" s="27"/>
      <c r="Q4600" s="27"/>
      <c r="R4600" s="27"/>
    </row>
    <row r="4601" spans="1:18">
      <c r="A4601" s="28"/>
      <c r="B4601" s="29"/>
      <c r="C4601" s="29"/>
      <c r="D4601" s="29"/>
      <c r="E4601" s="29"/>
      <c r="H4601" s="27"/>
      <c r="K4601"/>
      <c r="P4601" s="27"/>
      <c r="Q4601" s="27"/>
      <c r="R4601" s="27"/>
    </row>
    <row r="4602" spans="1:18">
      <c r="A4602" s="28"/>
      <c r="B4602" s="29"/>
      <c r="C4602" s="29"/>
      <c r="D4602" s="29"/>
      <c r="E4602" s="29"/>
      <c r="H4602" s="27"/>
      <c r="K4602"/>
      <c r="P4602" s="27"/>
      <c r="Q4602" s="27"/>
      <c r="R4602" s="27"/>
    </row>
    <row r="4603" spans="1:18">
      <c r="A4603" s="28"/>
      <c r="B4603" s="29"/>
      <c r="C4603" s="29"/>
      <c r="D4603" s="29"/>
      <c r="E4603" s="29"/>
      <c r="H4603" s="27"/>
      <c r="K4603"/>
      <c r="P4603" s="27"/>
      <c r="Q4603" s="27"/>
      <c r="R4603" s="27"/>
    </row>
    <row r="4604" spans="1:18">
      <c r="A4604" s="28"/>
      <c r="B4604" s="29"/>
      <c r="C4604" s="29"/>
      <c r="D4604" s="29"/>
      <c r="E4604" s="29"/>
      <c r="H4604" s="27"/>
      <c r="K4604"/>
      <c r="P4604" s="27"/>
      <c r="Q4604" s="27"/>
      <c r="R4604" s="27"/>
    </row>
    <row r="4605" spans="1:18">
      <c r="A4605" s="28"/>
      <c r="B4605" s="29"/>
      <c r="C4605" s="29"/>
      <c r="D4605" s="29"/>
      <c r="E4605" s="29"/>
      <c r="H4605" s="27"/>
      <c r="K4605"/>
      <c r="P4605" s="27"/>
      <c r="Q4605" s="27"/>
      <c r="R4605" s="27"/>
    </row>
    <row r="4606" spans="1:18">
      <c r="A4606" s="28"/>
      <c r="B4606" s="29"/>
      <c r="C4606" s="29"/>
      <c r="D4606" s="29"/>
      <c r="E4606" s="29"/>
      <c r="H4606" s="27"/>
      <c r="K4606"/>
      <c r="P4606" s="27"/>
      <c r="Q4606" s="27"/>
      <c r="R4606" s="27"/>
    </row>
    <row r="4607" spans="1:18">
      <c r="A4607" s="28"/>
      <c r="B4607" s="29"/>
      <c r="C4607" s="29"/>
      <c r="D4607" s="29"/>
      <c r="E4607" s="29"/>
      <c r="H4607" s="27"/>
      <c r="K4607"/>
      <c r="P4607" s="27"/>
      <c r="Q4607" s="27"/>
      <c r="R4607" s="27"/>
    </row>
    <row r="4608" spans="1:18">
      <c r="A4608" s="28"/>
      <c r="B4608" s="29"/>
      <c r="C4608" s="29"/>
      <c r="D4608" s="29"/>
      <c r="E4608" s="29"/>
      <c r="H4608" s="27"/>
      <c r="K4608"/>
      <c r="P4608" s="27"/>
      <c r="Q4608" s="27"/>
      <c r="R4608" s="27"/>
    </row>
    <row r="4609" spans="1:18">
      <c r="A4609" s="28"/>
      <c r="B4609" s="29"/>
      <c r="C4609" s="29"/>
      <c r="D4609" s="29"/>
      <c r="E4609" s="29"/>
      <c r="H4609" s="27"/>
      <c r="K4609"/>
      <c r="P4609" s="27"/>
      <c r="Q4609" s="27"/>
      <c r="R4609" s="27"/>
    </row>
    <row r="4610" spans="1:18">
      <c r="A4610" s="28"/>
      <c r="B4610" s="29"/>
      <c r="C4610" s="29"/>
      <c r="D4610" s="29"/>
      <c r="E4610" s="29"/>
      <c r="H4610" s="27"/>
      <c r="K4610"/>
      <c r="P4610" s="27"/>
      <c r="Q4610" s="27"/>
      <c r="R4610" s="27"/>
    </row>
    <row r="4611" spans="1:18">
      <c r="A4611" s="28"/>
      <c r="B4611" s="29"/>
      <c r="C4611" s="29"/>
      <c r="D4611" s="29"/>
      <c r="E4611" s="29"/>
      <c r="H4611" s="27"/>
      <c r="K4611"/>
      <c r="P4611" s="27"/>
      <c r="Q4611" s="27"/>
      <c r="R4611" s="27"/>
    </row>
    <row r="4612" spans="1:18">
      <c r="A4612" s="28"/>
      <c r="B4612" s="29"/>
      <c r="C4612" s="29"/>
      <c r="D4612" s="29"/>
      <c r="E4612" s="29"/>
      <c r="H4612" s="27"/>
      <c r="K4612"/>
      <c r="P4612" s="27"/>
      <c r="Q4612" s="27"/>
      <c r="R4612" s="27"/>
    </row>
    <row r="4613" spans="1:18">
      <c r="A4613" s="28"/>
      <c r="B4613" s="29"/>
      <c r="C4613" s="29"/>
      <c r="D4613" s="29"/>
      <c r="E4613" s="29"/>
      <c r="H4613" s="27"/>
      <c r="K4613"/>
      <c r="P4613" s="27"/>
      <c r="Q4613" s="27"/>
      <c r="R4613" s="27"/>
    </row>
    <row r="4614" spans="1:18">
      <c r="A4614" s="28"/>
      <c r="B4614" s="29"/>
      <c r="C4614" s="29"/>
      <c r="D4614" s="29"/>
      <c r="E4614" s="29"/>
      <c r="H4614" s="27"/>
      <c r="K4614"/>
      <c r="P4614" s="27"/>
      <c r="Q4614" s="27"/>
      <c r="R4614" s="27"/>
    </row>
    <row r="4615" spans="1:18">
      <c r="A4615" s="28"/>
      <c r="B4615" s="29"/>
      <c r="C4615" s="29"/>
      <c r="D4615" s="29"/>
      <c r="E4615" s="29"/>
      <c r="H4615" s="27"/>
      <c r="K4615"/>
      <c r="P4615" s="27"/>
      <c r="Q4615" s="27"/>
      <c r="R4615" s="27"/>
    </row>
    <row r="4616" spans="1:18">
      <c r="A4616" s="28"/>
      <c r="B4616" s="29"/>
      <c r="C4616" s="29"/>
      <c r="D4616" s="29"/>
      <c r="E4616" s="29"/>
      <c r="H4616" s="27"/>
      <c r="K4616"/>
      <c r="P4616" s="27"/>
      <c r="Q4616" s="27"/>
      <c r="R4616" s="27"/>
    </row>
    <row r="4617" spans="1:18">
      <c r="A4617" s="28"/>
      <c r="B4617" s="29"/>
      <c r="C4617" s="29"/>
      <c r="D4617" s="29"/>
      <c r="E4617" s="29"/>
      <c r="H4617" s="27"/>
      <c r="K4617"/>
      <c r="P4617" s="27"/>
      <c r="Q4617" s="27"/>
      <c r="R4617" s="27"/>
    </row>
    <row r="4618" spans="1:18">
      <c r="A4618" s="28"/>
      <c r="B4618" s="29"/>
      <c r="C4618" s="29"/>
      <c r="D4618" s="29"/>
      <c r="E4618" s="29"/>
      <c r="H4618" s="27"/>
      <c r="K4618"/>
      <c r="P4618" s="27"/>
      <c r="Q4618" s="27"/>
      <c r="R4618" s="27"/>
    </row>
    <row r="4619" spans="1:18">
      <c r="A4619" s="28"/>
      <c r="B4619" s="29"/>
      <c r="C4619" s="29"/>
      <c r="D4619" s="29"/>
      <c r="E4619" s="29"/>
      <c r="H4619" s="27"/>
      <c r="K4619"/>
      <c r="P4619" s="27"/>
      <c r="Q4619" s="27"/>
      <c r="R4619" s="27"/>
    </row>
    <row r="4620" spans="1:18">
      <c r="A4620" s="28"/>
      <c r="B4620" s="29"/>
      <c r="C4620" s="29"/>
      <c r="D4620" s="29"/>
      <c r="E4620" s="29"/>
      <c r="H4620" s="27"/>
      <c r="K4620"/>
      <c r="P4620" s="27"/>
      <c r="Q4620" s="27"/>
      <c r="R4620" s="27"/>
    </row>
    <row r="4621" spans="1:18">
      <c r="A4621" s="28"/>
      <c r="B4621" s="29"/>
      <c r="C4621" s="29"/>
      <c r="D4621" s="29"/>
      <c r="E4621" s="29"/>
      <c r="H4621" s="27"/>
      <c r="K4621"/>
      <c r="P4621" s="27"/>
      <c r="Q4621" s="27"/>
      <c r="R4621" s="27"/>
    </row>
    <row r="4622" spans="1:18">
      <c r="A4622" s="28"/>
      <c r="B4622" s="29"/>
      <c r="C4622" s="29"/>
      <c r="D4622" s="29"/>
      <c r="E4622" s="29"/>
      <c r="H4622" s="27"/>
      <c r="K4622"/>
      <c r="P4622" s="27"/>
      <c r="Q4622" s="27"/>
      <c r="R4622" s="27"/>
    </row>
    <row r="4623" spans="1:18">
      <c r="A4623" s="28"/>
      <c r="B4623" s="29"/>
      <c r="C4623" s="29"/>
      <c r="D4623" s="29"/>
      <c r="E4623" s="29"/>
      <c r="H4623" s="27"/>
      <c r="K4623"/>
      <c r="P4623" s="27"/>
      <c r="Q4623" s="27"/>
      <c r="R4623" s="27"/>
    </row>
    <row r="4624" spans="1:18">
      <c r="A4624" s="28"/>
      <c r="B4624" s="29"/>
      <c r="C4624" s="29"/>
      <c r="D4624" s="29"/>
      <c r="E4624" s="29"/>
      <c r="H4624" s="27"/>
      <c r="K4624"/>
      <c r="P4624" s="27"/>
      <c r="Q4624" s="27"/>
      <c r="R4624" s="27"/>
    </row>
    <row r="4625" spans="1:18">
      <c r="A4625" s="28"/>
      <c r="B4625" s="29"/>
      <c r="C4625" s="29"/>
      <c r="D4625" s="29"/>
      <c r="E4625" s="29"/>
      <c r="H4625" s="27"/>
      <c r="K4625"/>
      <c r="P4625" s="27"/>
      <c r="Q4625" s="27"/>
      <c r="R4625" s="27"/>
    </row>
    <row r="4626" spans="1:18">
      <c r="A4626" s="28"/>
      <c r="B4626" s="29"/>
      <c r="C4626" s="29"/>
      <c r="D4626" s="29"/>
      <c r="E4626" s="29"/>
      <c r="H4626" s="27"/>
      <c r="K4626"/>
      <c r="P4626" s="27"/>
      <c r="Q4626" s="27"/>
      <c r="R4626" s="27"/>
    </row>
    <row r="4627" spans="1:18">
      <c r="A4627" s="28"/>
      <c r="B4627" s="29"/>
      <c r="C4627" s="29"/>
      <c r="D4627" s="29"/>
      <c r="E4627" s="29"/>
      <c r="H4627" s="27"/>
      <c r="K4627"/>
      <c r="P4627" s="27"/>
      <c r="Q4627" s="27"/>
      <c r="R4627" s="27"/>
    </row>
    <row r="4628" spans="1:18">
      <c r="A4628" s="28"/>
      <c r="B4628" s="29"/>
      <c r="C4628" s="29"/>
      <c r="D4628" s="29"/>
      <c r="E4628" s="29"/>
      <c r="H4628" s="27"/>
      <c r="K4628"/>
      <c r="P4628" s="27"/>
      <c r="Q4628" s="27"/>
      <c r="R4628" s="27"/>
    </row>
    <row r="4629" spans="1:18">
      <c r="A4629" s="28"/>
      <c r="B4629" s="29"/>
      <c r="C4629" s="29"/>
      <c r="D4629" s="29"/>
      <c r="E4629" s="29"/>
      <c r="H4629" s="27"/>
      <c r="K4629"/>
      <c r="P4629" s="27"/>
      <c r="Q4629" s="27"/>
      <c r="R4629" s="27"/>
    </row>
    <row r="4630" spans="1:18">
      <c r="A4630" s="28"/>
      <c r="B4630" s="29"/>
      <c r="C4630" s="29"/>
      <c r="D4630" s="29"/>
      <c r="E4630" s="29"/>
      <c r="H4630" s="27"/>
      <c r="K4630"/>
      <c r="P4630" s="27"/>
      <c r="Q4630" s="27"/>
      <c r="R4630" s="27"/>
    </row>
    <row r="4631" spans="1:18">
      <c r="A4631" s="28"/>
      <c r="B4631" s="29"/>
      <c r="C4631" s="29"/>
      <c r="D4631" s="29"/>
      <c r="E4631" s="29"/>
      <c r="H4631" s="27"/>
      <c r="K4631"/>
      <c r="P4631" s="27"/>
      <c r="Q4631" s="27"/>
      <c r="R4631" s="27"/>
    </row>
    <row r="4632" spans="1:18">
      <c r="A4632" s="28"/>
      <c r="B4632" s="29"/>
      <c r="C4632" s="29"/>
      <c r="D4632" s="29"/>
      <c r="E4632" s="29"/>
      <c r="H4632" s="27"/>
      <c r="K4632"/>
      <c r="P4632" s="27"/>
      <c r="Q4632" s="27"/>
      <c r="R4632" s="27"/>
    </row>
    <row r="4633" spans="1:18">
      <c r="A4633" s="28"/>
      <c r="B4633" s="29"/>
      <c r="C4633" s="29"/>
      <c r="D4633" s="29"/>
      <c r="E4633" s="29"/>
      <c r="H4633" s="27"/>
      <c r="K4633"/>
      <c r="P4633" s="27"/>
      <c r="Q4633" s="27"/>
      <c r="R4633" s="27"/>
    </row>
    <row r="4634" spans="1:18">
      <c r="A4634" s="28"/>
      <c r="B4634" s="29"/>
      <c r="C4634" s="29"/>
      <c r="D4634" s="29"/>
      <c r="E4634" s="29"/>
      <c r="H4634" s="27"/>
      <c r="K4634"/>
      <c r="P4634" s="27"/>
      <c r="Q4634" s="27"/>
      <c r="R4634" s="27"/>
    </row>
    <row r="4635" spans="1:18">
      <c r="A4635" s="28"/>
      <c r="B4635" s="29"/>
      <c r="C4635" s="29"/>
      <c r="D4635" s="29"/>
      <c r="E4635" s="29"/>
      <c r="H4635" s="27"/>
      <c r="K4635"/>
      <c r="P4635" s="27"/>
      <c r="Q4635" s="27"/>
      <c r="R4635" s="27"/>
    </row>
    <row r="4636" spans="1:18">
      <c r="A4636" s="28"/>
      <c r="B4636" s="29"/>
      <c r="C4636" s="29"/>
      <c r="D4636" s="29"/>
      <c r="E4636" s="29"/>
      <c r="H4636" s="27"/>
      <c r="K4636"/>
      <c r="P4636" s="27"/>
      <c r="Q4636" s="27"/>
      <c r="R4636" s="27"/>
    </row>
    <row r="4637" spans="1:18">
      <c r="A4637" s="28"/>
      <c r="B4637" s="29"/>
      <c r="C4637" s="29"/>
      <c r="D4637" s="29"/>
      <c r="E4637" s="29"/>
      <c r="H4637" s="27"/>
      <c r="K4637"/>
      <c r="P4637" s="27"/>
      <c r="Q4637" s="27"/>
      <c r="R4637" s="27"/>
    </row>
    <row r="4638" spans="1:18">
      <c r="A4638" s="28"/>
      <c r="B4638" s="29"/>
      <c r="C4638" s="29"/>
      <c r="D4638" s="29"/>
      <c r="E4638" s="29"/>
      <c r="H4638" s="27"/>
      <c r="K4638"/>
      <c r="P4638" s="27"/>
      <c r="Q4638" s="27"/>
      <c r="R4638" s="27"/>
    </row>
    <row r="4639" spans="1:18">
      <c r="A4639" s="28"/>
      <c r="B4639" s="29"/>
      <c r="C4639" s="29"/>
      <c r="D4639" s="29"/>
      <c r="E4639" s="29"/>
      <c r="H4639" s="27"/>
      <c r="K4639"/>
      <c r="P4639" s="27"/>
      <c r="Q4639" s="27"/>
      <c r="R4639" s="27"/>
    </row>
    <row r="4640" spans="1:18">
      <c r="A4640" s="28"/>
      <c r="B4640" s="29"/>
      <c r="C4640" s="29"/>
      <c r="D4640" s="29"/>
      <c r="E4640" s="29"/>
      <c r="H4640" s="27"/>
      <c r="K4640"/>
      <c r="P4640" s="27"/>
      <c r="Q4640" s="27"/>
      <c r="R4640" s="27"/>
    </row>
    <row r="4641" spans="1:18">
      <c r="A4641" s="28"/>
      <c r="B4641" s="29"/>
      <c r="C4641" s="29"/>
      <c r="D4641" s="29"/>
      <c r="E4641" s="29"/>
      <c r="H4641" s="27"/>
      <c r="K4641"/>
      <c r="P4641" s="27"/>
      <c r="Q4641" s="27"/>
      <c r="R4641" s="27"/>
    </row>
    <row r="4642" spans="1:18">
      <c r="A4642" s="28"/>
      <c r="B4642" s="29"/>
      <c r="C4642" s="29"/>
      <c r="D4642" s="29"/>
      <c r="E4642" s="29"/>
      <c r="H4642" s="27"/>
      <c r="K4642"/>
      <c r="P4642" s="27"/>
      <c r="Q4642" s="27"/>
      <c r="R4642" s="27"/>
    </row>
    <row r="4643" spans="1:18">
      <c r="A4643" s="28"/>
      <c r="B4643" s="29"/>
      <c r="C4643" s="29"/>
      <c r="D4643" s="29"/>
      <c r="E4643" s="29"/>
      <c r="H4643" s="27"/>
      <c r="K4643"/>
      <c r="P4643" s="27"/>
      <c r="Q4643" s="27"/>
      <c r="R4643" s="27"/>
    </row>
    <row r="4644" spans="1:18">
      <c r="A4644" s="28"/>
      <c r="B4644" s="29"/>
      <c r="C4644" s="29"/>
      <c r="D4644" s="29"/>
      <c r="E4644" s="29"/>
      <c r="H4644" s="27"/>
      <c r="K4644"/>
      <c r="P4644" s="27"/>
      <c r="Q4644" s="27"/>
      <c r="R4644" s="27"/>
    </row>
    <row r="4645" spans="1:18">
      <c r="A4645" s="28"/>
      <c r="B4645" s="29"/>
      <c r="C4645" s="29"/>
      <c r="D4645" s="29"/>
      <c r="E4645" s="29"/>
      <c r="H4645" s="27"/>
      <c r="K4645"/>
      <c r="P4645" s="27"/>
      <c r="Q4645" s="27"/>
      <c r="R4645" s="27"/>
    </row>
    <row r="4646" spans="1:18">
      <c r="A4646" s="28"/>
      <c r="B4646" s="29"/>
      <c r="C4646" s="29"/>
      <c r="D4646" s="29"/>
      <c r="E4646" s="29"/>
      <c r="H4646" s="27"/>
      <c r="K4646"/>
      <c r="P4646" s="27"/>
      <c r="Q4646" s="27"/>
      <c r="R4646" s="27"/>
    </row>
    <row r="4647" spans="1:18">
      <c r="A4647" s="28"/>
      <c r="B4647" s="29"/>
      <c r="C4647" s="29"/>
      <c r="D4647" s="29"/>
      <c r="E4647" s="29"/>
      <c r="H4647" s="27"/>
      <c r="K4647"/>
      <c r="P4647" s="27"/>
      <c r="Q4647" s="27"/>
      <c r="R4647" s="27"/>
    </row>
    <row r="4648" spans="1:18">
      <c r="A4648" s="28"/>
      <c r="B4648" s="29"/>
      <c r="C4648" s="29"/>
      <c r="D4648" s="29"/>
      <c r="E4648" s="29"/>
      <c r="H4648" s="27"/>
      <c r="K4648"/>
      <c r="P4648" s="27"/>
      <c r="Q4648" s="27"/>
      <c r="R4648" s="27"/>
    </row>
    <row r="4649" spans="1:18">
      <c r="A4649" s="28"/>
      <c r="B4649" s="29"/>
      <c r="C4649" s="29"/>
      <c r="D4649" s="29"/>
      <c r="E4649" s="29"/>
      <c r="H4649" s="27"/>
      <c r="K4649"/>
      <c r="P4649" s="27"/>
      <c r="Q4649" s="27"/>
      <c r="R4649" s="27"/>
    </row>
    <row r="4650" spans="1:18">
      <c r="A4650" s="28"/>
      <c r="B4650" s="29"/>
      <c r="C4650" s="29"/>
      <c r="D4650" s="29"/>
      <c r="E4650" s="29"/>
      <c r="H4650" s="27"/>
      <c r="K4650"/>
      <c r="P4650" s="27"/>
      <c r="Q4650" s="27"/>
      <c r="R4650" s="27"/>
    </row>
    <row r="4651" spans="1:18">
      <c r="A4651" s="28"/>
      <c r="B4651" s="29"/>
      <c r="C4651" s="29"/>
      <c r="D4651" s="29"/>
      <c r="E4651" s="29"/>
      <c r="H4651" s="27"/>
      <c r="K4651"/>
      <c r="P4651" s="27"/>
      <c r="Q4651" s="27"/>
      <c r="R4651" s="27"/>
    </row>
    <row r="4652" spans="1:18">
      <c r="A4652" s="28"/>
      <c r="B4652" s="29"/>
      <c r="C4652" s="29"/>
      <c r="D4652" s="29"/>
      <c r="E4652" s="29"/>
      <c r="H4652" s="27"/>
      <c r="K4652"/>
      <c r="P4652" s="27"/>
      <c r="Q4652" s="27"/>
      <c r="R4652" s="27"/>
    </row>
    <row r="4653" spans="1:18">
      <c r="A4653" s="28"/>
      <c r="B4653" s="29"/>
      <c r="C4653" s="29"/>
      <c r="D4653" s="29"/>
      <c r="E4653" s="29"/>
      <c r="H4653" s="27"/>
      <c r="K4653"/>
      <c r="P4653" s="27"/>
      <c r="Q4653" s="27"/>
      <c r="R4653" s="27"/>
    </row>
    <row r="4654" spans="1:18">
      <c r="A4654" s="28"/>
      <c r="B4654" s="29"/>
      <c r="C4654" s="29"/>
      <c r="D4654" s="29"/>
      <c r="E4654" s="29"/>
      <c r="H4654" s="27"/>
      <c r="K4654"/>
      <c r="P4654" s="27"/>
      <c r="Q4654" s="27"/>
      <c r="R4654" s="27"/>
    </row>
    <row r="4655" spans="1:18">
      <c r="A4655" s="28"/>
      <c r="B4655" s="29"/>
      <c r="C4655" s="29"/>
      <c r="D4655" s="29"/>
      <c r="E4655" s="29"/>
      <c r="H4655" s="27"/>
      <c r="K4655"/>
      <c r="P4655" s="27"/>
      <c r="Q4655" s="27"/>
      <c r="R4655" s="27"/>
    </row>
    <row r="4656" spans="1:18">
      <c r="A4656" s="28"/>
      <c r="B4656" s="29"/>
      <c r="C4656" s="29"/>
      <c r="D4656" s="29"/>
      <c r="E4656" s="29"/>
      <c r="H4656" s="27"/>
      <c r="K4656"/>
      <c r="P4656" s="27"/>
      <c r="Q4656" s="27"/>
      <c r="R4656" s="27"/>
    </row>
    <row r="4657" spans="1:18">
      <c r="A4657" s="28"/>
      <c r="B4657" s="29"/>
      <c r="C4657" s="29"/>
      <c r="D4657" s="29"/>
      <c r="E4657" s="29"/>
      <c r="H4657" s="27"/>
      <c r="K4657"/>
      <c r="P4657" s="27"/>
      <c r="Q4657" s="27"/>
      <c r="R4657" s="27"/>
    </row>
    <row r="4658" spans="1:18">
      <c r="A4658" s="28"/>
      <c r="B4658" s="29"/>
      <c r="C4658" s="29"/>
      <c r="D4658" s="29"/>
      <c r="E4658" s="29"/>
      <c r="H4658" s="27"/>
      <c r="K4658"/>
      <c r="P4658" s="27"/>
      <c r="Q4658" s="27"/>
      <c r="R4658" s="27"/>
    </row>
    <row r="4659" spans="1:18">
      <c r="A4659" s="28"/>
      <c r="B4659" s="29"/>
      <c r="C4659" s="29"/>
      <c r="D4659" s="29"/>
      <c r="E4659" s="29"/>
      <c r="H4659" s="27"/>
      <c r="K4659"/>
      <c r="P4659" s="27"/>
      <c r="Q4659" s="27"/>
      <c r="R4659" s="27"/>
    </row>
    <row r="4660" spans="1:18">
      <c r="A4660" s="28"/>
      <c r="B4660" s="29"/>
      <c r="C4660" s="29"/>
      <c r="D4660" s="29"/>
      <c r="E4660" s="29"/>
      <c r="H4660" s="27"/>
      <c r="K4660"/>
      <c r="P4660" s="27"/>
      <c r="Q4660" s="27"/>
      <c r="R4660" s="27"/>
    </row>
    <row r="4661" spans="1:18">
      <c r="A4661" s="28"/>
      <c r="B4661" s="29"/>
      <c r="C4661" s="29"/>
      <c r="D4661" s="29"/>
      <c r="E4661" s="29"/>
      <c r="H4661" s="27"/>
      <c r="K4661"/>
      <c r="P4661" s="27"/>
      <c r="Q4661" s="27"/>
      <c r="R4661" s="27"/>
    </row>
    <row r="4662" spans="1:18">
      <c r="A4662" s="28"/>
      <c r="B4662" s="29"/>
      <c r="C4662" s="29"/>
      <c r="D4662" s="29"/>
      <c r="E4662" s="29"/>
      <c r="H4662" s="27"/>
      <c r="K4662"/>
      <c r="P4662" s="27"/>
      <c r="Q4662" s="27"/>
      <c r="R4662" s="27"/>
    </row>
    <row r="4663" spans="1:18">
      <c r="A4663" s="28"/>
      <c r="B4663" s="29"/>
      <c r="C4663" s="29"/>
      <c r="D4663" s="29"/>
      <c r="E4663" s="29"/>
      <c r="H4663" s="27"/>
      <c r="K4663"/>
      <c r="P4663" s="27"/>
      <c r="Q4663" s="27"/>
      <c r="R4663" s="27"/>
    </row>
    <row r="4664" spans="1:18">
      <c r="A4664" s="28"/>
      <c r="B4664" s="29"/>
      <c r="C4664" s="29"/>
      <c r="D4664" s="29"/>
      <c r="E4664" s="29"/>
      <c r="H4664" s="27"/>
      <c r="K4664"/>
      <c r="P4664" s="27"/>
      <c r="Q4664" s="27"/>
      <c r="R4664" s="27"/>
    </row>
    <row r="4665" spans="1:18">
      <c r="A4665" s="28"/>
      <c r="B4665" s="29"/>
      <c r="C4665" s="29"/>
      <c r="D4665" s="29"/>
      <c r="E4665" s="29"/>
      <c r="H4665" s="27"/>
      <c r="K4665"/>
      <c r="P4665" s="27"/>
      <c r="Q4665" s="27"/>
      <c r="R4665" s="27"/>
    </row>
    <row r="4666" spans="1:18">
      <c r="A4666" s="28"/>
      <c r="B4666" s="29"/>
      <c r="C4666" s="29"/>
      <c r="D4666" s="29"/>
      <c r="E4666" s="29"/>
      <c r="H4666" s="27"/>
      <c r="K4666"/>
      <c r="P4666" s="27"/>
      <c r="Q4666" s="27"/>
      <c r="R4666" s="27"/>
    </row>
    <row r="4667" spans="1:18">
      <c r="A4667" s="28"/>
      <c r="B4667" s="29"/>
      <c r="C4667" s="29"/>
      <c r="D4667" s="29"/>
      <c r="E4667" s="29"/>
      <c r="H4667" s="27"/>
      <c r="K4667"/>
      <c r="P4667" s="27"/>
      <c r="Q4667" s="27"/>
      <c r="R4667" s="27"/>
    </row>
    <row r="4668" spans="1:18">
      <c r="A4668" s="28"/>
      <c r="B4668" s="29"/>
      <c r="C4668" s="29"/>
      <c r="D4668" s="29"/>
      <c r="E4668" s="29"/>
      <c r="H4668" s="27"/>
      <c r="K4668"/>
      <c r="P4668" s="27"/>
      <c r="Q4668" s="27"/>
      <c r="R4668" s="27"/>
    </row>
    <row r="4669" spans="1:18">
      <c r="A4669" s="28"/>
      <c r="B4669" s="29"/>
      <c r="C4669" s="29"/>
      <c r="D4669" s="29"/>
      <c r="E4669" s="29"/>
      <c r="H4669" s="27"/>
      <c r="K4669"/>
      <c r="P4669" s="27"/>
      <c r="Q4669" s="27"/>
      <c r="R4669" s="27"/>
    </row>
    <row r="4670" spans="1:18">
      <c r="A4670" s="28"/>
      <c r="B4670" s="29"/>
      <c r="C4670" s="29"/>
      <c r="D4670" s="29"/>
      <c r="E4670" s="29"/>
      <c r="H4670" s="27"/>
      <c r="K4670"/>
      <c r="P4670" s="27"/>
      <c r="Q4670" s="27"/>
      <c r="R4670" s="27"/>
    </row>
    <row r="4671" spans="1:18">
      <c r="A4671" s="28"/>
      <c r="B4671" s="29"/>
      <c r="C4671" s="29"/>
      <c r="D4671" s="29"/>
      <c r="E4671" s="29"/>
      <c r="H4671" s="27"/>
      <c r="K4671"/>
      <c r="P4671" s="27"/>
      <c r="Q4671" s="27"/>
      <c r="R4671" s="27"/>
    </row>
    <row r="4672" spans="1:18">
      <c r="A4672" s="28"/>
      <c r="B4672" s="29"/>
      <c r="C4672" s="29"/>
      <c r="D4672" s="29"/>
      <c r="E4672" s="29"/>
      <c r="H4672" s="27"/>
      <c r="K4672"/>
      <c r="P4672" s="27"/>
      <c r="Q4672" s="27"/>
      <c r="R4672" s="27"/>
    </row>
    <row r="4673" spans="1:18">
      <c r="A4673" s="28"/>
      <c r="B4673" s="29"/>
      <c r="C4673" s="29"/>
      <c r="D4673" s="29"/>
      <c r="E4673" s="29"/>
      <c r="H4673" s="27"/>
      <c r="K4673"/>
      <c r="P4673" s="27"/>
      <c r="Q4673" s="27"/>
      <c r="R4673" s="27"/>
    </row>
    <row r="4674" spans="1:18">
      <c r="A4674" s="28"/>
      <c r="B4674" s="29"/>
      <c r="C4674" s="29"/>
      <c r="D4674" s="29"/>
      <c r="E4674" s="29"/>
      <c r="H4674" s="27"/>
      <c r="K4674"/>
      <c r="P4674" s="27"/>
      <c r="Q4674" s="27"/>
      <c r="R4674" s="27"/>
    </row>
    <row r="4675" spans="1:18">
      <c r="A4675" s="28"/>
      <c r="B4675" s="29"/>
      <c r="C4675" s="29"/>
      <c r="D4675" s="29"/>
      <c r="E4675" s="29"/>
      <c r="H4675" s="27"/>
      <c r="K4675"/>
      <c r="P4675" s="27"/>
      <c r="Q4675" s="27"/>
      <c r="R4675" s="27"/>
    </row>
    <row r="4676" spans="1:18">
      <c r="A4676" s="28"/>
      <c r="B4676" s="29"/>
      <c r="C4676" s="29"/>
      <c r="D4676" s="29"/>
      <c r="E4676" s="29"/>
      <c r="H4676" s="27"/>
      <c r="K4676"/>
      <c r="P4676" s="27"/>
      <c r="Q4676" s="27"/>
      <c r="R4676" s="27"/>
    </row>
    <row r="4677" spans="1:18">
      <c r="A4677" s="28"/>
      <c r="B4677" s="29"/>
      <c r="C4677" s="29"/>
      <c r="D4677" s="29"/>
      <c r="E4677" s="29"/>
      <c r="H4677" s="27"/>
      <c r="K4677"/>
      <c r="P4677" s="27"/>
      <c r="Q4677" s="27"/>
      <c r="R4677" s="27"/>
    </row>
    <row r="4678" spans="1:18">
      <c r="A4678" s="28"/>
      <c r="B4678" s="29"/>
      <c r="C4678" s="29"/>
      <c r="D4678" s="29"/>
      <c r="E4678" s="29"/>
      <c r="H4678" s="27"/>
      <c r="K4678"/>
      <c r="P4678" s="27"/>
      <c r="Q4678" s="27"/>
      <c r="R4678" s="27"/>
    </row>
    <row r="4679" spans="1:18">
      <c r="A4679" s="28"/>
      <c r="B4679" s="29"/>
      <c r="C4679" s="29"/>
      <c r="D4679" s="29"/>
      <c r="E4679" s="29"/>
      <c r="H4679" s="27"/>
      <c r="K4679"/>
      <c r="P4679" s="27"/>
      <c r="Q4679" s="27"/>
      <c r="R4679" s="27"/>
    </row>
    <row r="4680" spans="1:18">
      <c r="A4680" s="28"/>
      <c r="B4680" s="29"/>
      <c r="C4680" s="29"/>
      <c r="D4680" s="29"/>
      <c r="E4680" s="29"/>
      <c r="H4680" s="27"/>
      <c r="K4680"/>
      <c r="P4680" s="27"/>
      <c r="Q4680" s="27"/>
      <c r="R4680" s="27"/>
    </row>
    <row r="4681" spans="1:18">
      <c r="A4681" s="28"/>
      <c r="B4681" s="29"/>
      <c r="C4681" s="29"/>
      <c r="D4681" s="29"/>
      <c r="E4681" s="29"/>
      <c r="H4681" s="27"/>
      <c r="K4681"/>
      <c r="P4681" s="27"/>
      <c r="Q4681" s="27"/>
      <c r="R4681" s="27"/>
    </row>
    <row r="4682" spans="1:18">
      <c r="A4682" s="28"/>
      <c r="B4682" s="29"/>
      <c r="C4682" s="29"/>
      <c r="D4682" s="29"/>
      <c r="E4682" s="29"/>
      <c r="H4682" s="27"/>
      <c r="K4682"/>
      <c r="P4682" s="27"/>
      <c r="Q4682" s="27"/>
      <c r="R4682" s="27"/>
    </row>
    <row r="4683" spans="1:18">
      <c r="A4683" s="28"/>
      <c r="B4683" s="29"/>
      <c r="C4683" s="29"/>
      <c r="D4683" s="29"/>
      <c r="E4683" s="29"/>
      <c r="H4683" s="27"/>
      <c r="K4683"/>
      <c r="P4683" s="27"/>
      <c r="Q4683" s="27"/>
      <c r="R4683" s="27"/>
    </row>
    <row r="4684" spans="1:18">
      <c r="A4684" s="28"/>
      <c r="B4684" s="29"/>
      <c r="C4684" s="29"/>
      <c r="D4684" s="29"/>
      <c r="E4684" s="29"/>
      <c r="H4684" s="27"/>
      <c r="K4684"/>
      <c r="P4684" s="27"/>
      <c r="Q4684" s="27"/>
      <c r="R4684" s="27"/>
    </row>
    <row r="4685" spans="1:18">
      <c r="A4685" s="28"/>
      <c r="B4685" s="29"/>
      <c r="C4685" s="29"/>
      <c r="D4685" s="29"/>
      <c r="E4685" s="29"/>
      <c r="H4685" s="27"/>
      <c r="K4685"/>
      <c r="P4685" s="27"/>
      <c r="Q4685" s="27"/>
      <c r="R4685" s="27"/>
    </row>
    <row r="4686" spans="1:18">
      <c r="A4686" s="28"/>
      <c r="B4686" s="29"/>
      <c r="C4686" s="29"/>
      <c r="D4686" s="29"/>
      <c r="E4686" s="29"/>
      <c r="H4686" s="27"/>
      <c r="K4686"/>
      <c r="P4686" s="27"/>
      <c r="Q4686" s="27"/>
      <c r="R4686" s="27"/>
    </row>
    <row r="4687" spans="1:18">
      <c r="A4687" s="28"/>
      <c r="B4687" s="29"/>
      <c r="C4687" s="29"/>
      <c r="D4687" s="29"/>
      <c r="E4687" s="29"/>
      <c r="H4687" s="27"/>
      <c r="K4687"/>
      <c r="P4687" s="27"/>
      <c r="Q4687" s="27"/>
      <c r="R4687" s="27"/>
    </row>
    <row r="4688" spans="1:18">
      <c r="A4688" s="28"/>
      <c r="B4688" s="29"/>
      <c r="C4688" s="29"/>
      <c r="D4688" s="29"/>
      <c r="E4688" s="29"/>
      <c r="H4688" s="27"/>
      <c r="K4688"/>
      <c r="P4688" s="27"/>
      <c r="Q4688" s="27"/>
      <c r="R4688" s="27"/>
    </row>
    <row r="4689" spans="1:18">
      <c r="A4689" s="28"/>
      <c r="B4689" s="29"/>
      <c r="C4689" s="29"/>
      <c r="D4689" s="29"/>
      <c r="E4689" s="29"/>
      <c r="H4689" s="27"/>
      <c r="K4689"/>
      <c r="P4689" s="27"/>
      <c r="Q4689" s="27"/>
      <c r="R4689" s="27"/>
    </row>
    <row r="4690" spans="1:18">
      <c r="A4690" s="28"/>
      <c r="B4690" s="29"/>
      <c r="C4690" s="29"/>
      <c r="D4690" s="29"/>
      <c r="E4690" s="29"/>
      <c r="H4690" s="27"/>
      <c r="K4690"/>
      <c r="P4690" s="27"/>
      <c r="Q4690" s="27"/>
      <c r="R4690" s="27"/>
    </row>
    <row r="4691" spans="1:18">
      <c r="A4691" s="28"/>
      <c r="B4691" s="29"/>
      <c r="C4691" s="29"/>
      <c r="D4691" s="29"/>
      <c r="E4691" s="29"/>
      <c r="H4691" s="27"/>
      <c r="K4691"/>
      <c r="P4691" s="27"/>
      <c r="Q4691" s="27"/>
      <c r="R4691" s="27"/>
    </row>
    <row r="4692" spans="1:18">
      <c r="A4692" s="28"/>
      <c r="B4692" s="29"/>
      <c r="C4692" s="29"/>
      <c r="D4692" s="29"/>
      <c r="E4692" s="29"/>
      <c r="H4692" s="27"/>
      <c r="K4692"/>
      <c r="P4692" s="27"/>
      <c r="Q4692" s="27"/>
      <c r="R4692" s="27"/>
    </row>
    <row r="4693" spans="1:18">
      <c r="A4693" s="28"/>
      <c r="B4693" s="29"/>
      <c r="C4693" s="29"/>
      <c r="D4693" s="29"/>
      <c r="E4693" s="29"/>
      <c r="H4693" s="27"/>
      <c r="K4693"/>
      <c r="P4693" s="27"/>
      <c r="Q4693" s="27"/>
      <c r="R4693" s="27"/>
    </row>
    <row r="4694" spans="1:18">
      <c r="A4694" s="28"/>
      <c r="B4694" s="29"/>
      <c r="C4694" s="29"/>
      <c r="D4694" s="29"/>
      <c r="E4694" s="29"/>
      <c r="H4694" s="27"/>
      <c r="K4694"/>
      <c r="P4694" s="27"/>
      <c r="Q4694" s="27"/>
      <c r="R4694" s="27"/>
    </row>
    <row r="4695" spans="1:18">
      <c r="A4695" s="28"/>
      <c r="B4695" s="29"/>
      <c r="C4695" s="29"/>
      <c r="D4695" s="29"/>
      <c r="E4695" s="29"/>
      <c r="H4695" s="27"/>
      <c r="K4695"/>
      <c r="P4695" s="27"/>
      <c r="Q4695" s="27"/>
      <c r="R4695" s="27"/>
    </row>
    <row r="4696" spans="1:18">
      <c r="A4696" s="28"/>
      <c r="B4696" s="29"/>
      <c r="C4696" s="29"/>
      <c r="D4696" s="29"/>
      <c r="E4696" s="29"/>
      <c r="H4696" s="27"/>
      <c r="K4696"/>
      <c r="P4696" s="27"/>
      <c r="Q4696" s="27"/>
      <c r="R4696" s="27"/>
    </row>
    <row r="4697" spans="1:18">
      <c r="A4697" s="28"/>
      <c r="B4697" s="29"/>
      <c r="C4697" s="29"/>
      <c r="D4697" s="29"/>
      <c r="E4697" s="29"/>
      <c r="H4697" s="27"/>
      <c r="K4697"/>
      <c r="P4697" s="27"/>
      <c r="Q4697" s="27"/>
      <c r="R4697" s="27"/>
    </row>
    <row r="4698" spans="1:18">
      <c r="A4698" s="28"/>
      <c r="B4698" s="29"/>
      <c r="C4698" s="29"/>
      <c r="D4698" s="29"/>
      <c r="E4698" s="29"/>
      <c r="H4698" s="27"/>
      <c r="K4698"/>
      <c r="P4698" s="27"/>
      <c r="Q4698" s="27"/>
      <c r="R4698" s="27"/>
    </row>
    <row r="4699" spans="1:18">
      <c r="A4699" s="28"/>
      <c r="B4699" s="29"/>
      <c r="C4699" s="29"/>
      <c r="D4699" s="29"/>
      <c r="E4699" s="29"/>
      <c r="H4699" s="27"/>
      <c r="K4699"/>
      <c r="P4699" s="27"/>
      <c r="Q4699" s="27"/>
      <c r="R4699" s="27"/>
    </row>
    <row r="4700" spans="1:18">
      <c r="A4700" s="28"/>
      <c r="B4700" s="29"/>
      <c r="C4700" s="29"/>
      <c r="D4700" s="29"/>
      <c r="E4700" s="29"/>
      <c r="H4700" s="27"/>
      <c r="K4700"/>
      <c r="P4700" s="27"/>
      <c r="Q4700" s="27"/>
      <c r="R4700" s="27"/>
    </row>
    <row r="4701" spans="1:18">
      <c r="A4701" s="28"/>
      <c r="B4701" s="29"/>
      <c r="C4701" s="29"/>
      <c r="D4701" s="29"/>
      <c r="E4701" s="29"/>
      <c r="H4701" s="27"/>
      <c r="K4701"/>
      <c r="P4701" s="27"/>
      <c r="Q4701" s="27"/>
      <c r="R4701" s="27"/>
    </row>
    <row r="4702" spans="1:18">
      <c r="A4702" s="28"/>
      <c r="B4702" s="29"/>
      <c r="C4702" s="29"/>
      <c r="D4702" s="29"/>
      <c r="E4702" s="29"/>
      <c r="H4702" s="27"/>
      <c r="K4702"/>
      <c r="P4702" s="27"/>
      <c r="Q4702" s="27"/>
      <c r="R4702" s="27"/>
    </row>
    <row r="4703" spans="1:18">
      <c r="A4703" s="28"/>
      <c r="B4703" s="29"/>
      <c r="C4703" s="29"/>
      <c r="D4703" s="29"/>
      <c r="E4703" s="29"/>
      <c r="H4703" s="27"/>
      <c r="K4703"/>
      <c r="P4703" s="27"/>
      <c r="Q4703" s="27"/>
      <c r="R4703" s="27"/>
    </row>
    <row r="4704" spans="1:18">
      <c r="A4704" s="28"/>
      <c r="B4704" s="29"/>
      <c r="C4704" s="29"/>
      <c r="D4704" s="29"/>
      <c r="E4704" s="29"/>
      <c r="H4704" s="27"/>
      <c r="K4704"/>
      <c r="P4704" s="27"/>
      <c r="Q4704" s="27"/>
      <c r="R4704" s="27"/>
    </row>
    <row r="4705" spans="1:18">
      <c r="A4705" s="28"/>
      <c r="B4705" s="29"/>
      <c r="C4705" s="29"/>
      <c r="D4705" s="29"/>
      <c r="E4705" s="29"/>
      <c r="H4705" s="27"/>
      <c r="K4705"/>
      <c r="P4705" s="27"/>
      <c r="Q4705" s="27"/>
      <c r="R4705" s="27"/>
    </row>
    <row r="4706" spans="1:18">
      <c r="A4706" s="28"/>
      <c r="B4706" s="29"/>
      <c r="C4706" s="29"/>
      <c r="D4706" s="29"/>
      <c r="E4706" s="29"/>
      <c r="H4706" s="27"/>
      <c r="K4706"/>
      <c r="P4706" s="27"/>
      <c r="Q4706" s="27"/>
      <c r="R4706" s="27"/>
    </row>
    <row r="4707" spans="1:18">
      <c r="A4707" s="28"/>
      <c r="B4707" s="29"/>
      <c r="C4707" s="29"/>
      <c r="D4707" s="29"/>
      <c r="E4707" s="29"/>
      <c r="H4707" s="27"/>
      <c r="K4707"/>
      <c r="P4707" s="27"/>
      <c r="Q4707" s="27"/>
      <c r="R4707" s="27"/>
    </row>
    <row r="4708" spans="1:18">
      <c r="A4708" s="28"/>
      <c r="B4708" s="29"/>
      <c r="C4708" s="29"/>
      <c r="D4708" s="29"/>
      <c r="E4708" s="29"/>
      <c r="H4708" s="27"/>
      <c r="K4708"/>
      <c r="P4708" s="27"/>
      <c r="Q4708" s="27"/>
      <c r="R4708" s="27"/>
    </row>
    <row r="4709" spans="1:18">
      <c r="A4709" s="28"/>
      <c r="B4709" s="29"/>
      <c r="C4709" s="29"/>
      <c r="D4709" s="29"/>
      <c r="E4709" s="29"/>
      <c r="H4709" s="27"/>
      <c r="K4709"/>
      <c r="P4709" s="27"/>
      <c r="Q4709" s="27"/>
      <c r="R4709" s="27"/>
    </row>
    <row r="4710" spans="1:18">
      <c r="A4710" s="28"/>
      <c r="B4710" s="29"/>
      <c r="C4710" s="29"/>
      <c r="D4710" s="29"/>
      <c r="E4710" s="29"/>
      <c r="H4710" s="27"/>
      <c r="K4710"/>
      <c r="P4710" s="27"/>
      <c r="Q4710" s="27"/>
      <c r="R4710" s="27"/>
    </row>
    <row r="4711" spans="1:18">
      <c r="A4711" s="28"/>
      <c r="B4711" s="29"/>
      <c r="C4711" s="29"/>
      <c r="D4711" s="29"/>
      <c r="E4711" s="29"/>
      <c r="H4711" s="27"/>
      <c r="K4711"/>
      <c r="P4711" s="27"/>
      <c r="Q4711" s="27"/>
      <c r="R4711" s="27"/>
    </row>
    <row r="4712" spans="1:18">
      <c r="A4712" s="28"/>
      <c r="B4712" s="29"/>
      <c r="C4712" s="29"/>
      <c r="D4712" s="29"/>
      <c r="E4712" s="29"/>
      <c r="H4712" s="27"/>
      <c r="K4712"/>
      <c r="P4712" s="27"/>
      <c r="Q4712" s="27"/>
      <c r="R4712" s="27"/>
    </row>
    <row r="4713" spans="1:18">
      <c r="A4713" s="28"/>
      <c r="B4713" s="29"/>
      <c r="C4713" s="29"/>
      <c r="D4713" s="29"/>
      <c r="E4713" s="29"/>
      <c r="H4713" s="27"/>
      <c r="K4713"/>
      <c r="P4713" s="27"/>
      <c r="Q4713" s="27"/>
      <c r="R4713" s="27"/>
    </row>
    <row r="4714" spans="1:18">
      <c r="A4714" s="28"/>
      <c r="B4714" s="29"/>
      <c r="C4714" s="29"/>
      <c r="D4714" s="29"/>
      <c r="E4714" s="29"/>
      <c r="H4714" s="27"/>
      <c r="K4714"/>
      <c r="P4714" s="27"/>
      <c r="Q4714" s="27"/>
      <c r="R4714" s="27"/>
    </row>
    <row r="4715" spans="1:18">
      <c r="A4715" s="28"/>
      <c r="B4715" s="29"/>
      <c r="C4715" s="29"/>
      <c r="D4715" s="29"/>
      <c r="E4715" s="29"/>
      <c r="H4715" s="27"/>
      <c r="K4715"/>
      <c r="P4715" s="27"/>
      <c r="Q4715" s="27"/>
      <c r="R4715" s="27"/>
    </row>
    <row r="4716" spans="1:18">
      <c r="A4716" s="28"/>
      <c r="B4716" s="29"/>
      <c r="C4716" s="29"/>
      <c r="D4716" s="29"/>
      <c r="E4716" s="29"/>
      <c r="H4716" s="27"/>
      <c r="K4716"/>
      <c r="P4716" s="27"/>
      <c r="Q4716" s="27"/>
      <c r="R4716" s="27"/>
    </row>
    <row r="4717" spans="1:18">
      <c r="A4717" s="28"/>
      <c r="B4717" s="29"/>
      <c r="C4717" s="29"/>
      <c r="D4717" s="29"/>
      <c r="E4717" s="29"/>
      <c r="H4717" s="27"/>
      <c r="K4717"/>
      <c r="P4717" s="27"/>
      <c r="Q4717" s="27"/>
      <c r="R4717" s="27"/>
    </row>
    <row r="4718" spans="1:18">
      <c r="A4718" s="28"/>
      <c r="B4718" s="29"/>
      <c r="C4718" s="29"/>
      <c r="D4718" s="29"/>
      <c r="E4718" s="29"/>
      <c r="H4718" s="27"/>
      <c r="K4718"/>
      <c r="P4718" s="27"/>
      <c r="Q4718" s="27"/>
      <c r="R4718" s="27"/>
    </row>
    <row r="4719" spans="1:18">
      <c r="A4719" s="28"/>
      <c r="B4719" s="29"/>
      <c r="C4719" s="29"/>
      <c r="D4719" s="29"/>
      <c r="E4719" s="29"/>
      <c r="H4719" s="27"/>
      <c r="K4719"/>
      <c r="P4719" s="27"/>
      <c r="Q4719" s="27"/>
      <c r="R4719" s="27"/>
    </row>
    <row r="4720" spans="1:18">
      <c r="A4720" s="28"/>
      <c r="B4720" s="29"/>
      <c r="C4720" s="29"/>
      <c r="D4720" s="29"/>
      <c r="E4720" s="29"/>
      <c r="H4720" s="27"/>
      <c r="K4720"/>
      <c r="P4720" s="27"/>
      <c r="Q4720" s="27"/>
      <c r="R4720" s="27"/>
    </row>
    <row r="4721" spans="1:18">
      <c r="A4721" s="28"/>
      <c r="B4721" s="29"/>
      <c r="C4721" s="29"/>
      <c r="D4721" s="29"/>
      <c r="E4721" s="29"/>
      <c r="H4721" s="27"/>
      <c r="K4721"/>
      <c r="P4721" s="27"/>
      <c r="Q4721" s="27"/>
      <c r="R4721" s="27"/>
    </row>
    <row r="4722" spans="1:18">
      <c r="A4722" s="28"/>
      <c r="B4722" s="29"/>
      <c r="C4722" s="29"/>
      <c r="D4722" s="29"/>
      <c r="E4722" s="29"/>
      <c r="H4722" s="27"/>
      <c r="K4722"/>
      <c r="P4722" s="27"/>
      <c r="Q4722" s="27"/>
      <c r="R4722" s="27"/>
    </row>
    <row r="4723" spans="1:18">
      <c r="A4723" s="28"/>
      <c r="B4723" s="29"/>
      <c r="C4723" s="29"/>
      <c r="D4723" s="29"/>
      <c r="E4723" s="29"/>
      <c r="H4723" s="27"/>
      <c r="K4723"/>
      <c r="P4723" s="27"/>
      <c r="Q4723" s="27"/>
      <c r="R4723" s="27"/>
    </row>
    <row r="4724" spans="1:18">
      <c r="A4724" s="28"/>
      <c r="B4724" s="29"/>
      <c r="C4724" s="29"/>
      <c r="D4724" s="29"/>
      <c r="E4724" s="29"/>
      <c r="H4724" s="27"/>
      <c r="K4724"/>
      <c r="P4724" s="27"/>
      <c r="Q4724" s="27"/>
      <c r="R4724" s="27"/>
    </row>
    <row r="4725" spans="1:18">
      <c r="A4725" s="28"/>
      <c r="B4725" s="29"/>
      <c r="C4725" s="29"/>
      <c r="D4725" s="29"/>
      <c r="E4725" s="29"/>
      <c r="H4725" s="27"/>
      <c r="K4725"/>
      <c r="P4725" s="27"/>
      <c r="Q4725" s="27"/>
      <c r="R4725" s="27"/>
    </row>
    <row r="4726" spans="1:18">
      <c r="A4726" s="28"/>
      <c r="B4726" s="29"/>
      <c r="C4726" s="29"/>
      <c r="D4726" s="29"/>
      <c r="E4726" s="29"/>
      <c r="H4726" s="27"/>
      <c r="K4726"/>
      <c r="P4726" s="27"/>
      <c r="Q4726" s="27"/>
      <c r="R4726" s="27"/>
    </row>
    <row r="4727" spans="1:18">
      <c r="A4727" s="28"/>
      <c r="B4727" s="29"/>
      <c r="C4727" s="29"/>
      <c r="D4727" s="29"/>
      <c r="E4727" s="29"/>
      <c r="H4727" s="27"/>
      <c r="K4727"/>
      <c r="P4727" s="27"/>
      <c r="Q4727" s="27"/>
      <c r="R4727" s="27"/>
    </row>
    <row r="4728" spans="1:18">
      <c r="A4728" s="28"/>
      <c r="B4728" s="29"/>
      <c r="C4728" s="29"/>
      <c r="D4728" s="29"/>
      <c r="E4728" s="29"/>
      <c r="H4728" s="27"/>
      <c r="K4728"/>
      <c r="P4728" s="27"/>
      <c r="Q4728" s="27"/>
      <c r="R4728" s="27"/>
    </row>
    <row r="4729" spans="1:18">
      <c r="A4729" s="28"/>
      <c r="B4729" s="29"/>
      <c r="C4729" s="29"/>
      <c r="D4729" s="29"/>
      <c r="E4729" s="29"/>
      <c r="H4729" s="27"/>
      <c r="K4729"/>
      <c r="P4729" s="27"/>
      <c r="Q4729" s="27"/>
      <c r="R4729" s="27"/>
    </row>
    <row r="4730" spans="1:18">
      <c r="A4730" s="28"/>
      <c r="B4730" s="29"/>
      <c r="C4730" s="29"/>
      <c r="D4730" s="29"/>
      <c r="E4730" s="29"/>
      <c r="H4730" s="27"/>
      <c r="K4730"/>
      <c r="P4730" s="27"/>
      <c r="Q4730" s="27"/>
      <c r="R4730" s="27"/>
    </row>
    <row r="4731" spans="1:18">
      <c r="A4731" s="28"/>
      <c r="B4731" s="29"/>
      <c r="C4731" s="29"/>
      <c r="D4731" s="29"/>
      <c r="E4731" s="29"/>
      <c r="H4731" s="27"/>
      <c r="K4731"/>
      <c r="P4731" s="27"/>
      <c r="Q4731" s="27"/>
      <c r="R4731" s="27"/>
    </row>
    <row r="4732" spans="1:18">
      <c r="A4732" s="28"/>
      <c r="B4732" s="29"/>
      <c r="C4732" s="29"/>
      <c r="D4732" s="29"/>
      <c r="E4732" s="29"/>
      <c r="H4732" s="27"/>
      <c r="K4732"/>
      <c r="P4732" s="27"/>
      <c r="Q4732" s="27"/>
      <c r="R4732" s="27"/>
    </row>
    <row r="4733" spans="1:18">
      <c r="A4733" s="28"/>
      <c r="B4733" s="29"/>
      <c r="C4733" s="29"/>
      <c r="D4733" s="29"/>
      <c r="E4733" s="29"/>
      <c r="H4733" s="27"/>
      <c r="K4733"/>
      <c r="P4733" s="27"/>
      <c r="Q4733" s="27"/>
      <c r="R4733" s="27"/>
    </row>
    <row r="4734" spans="1:18">
      <c r="A4734" s="28"/>
      <c r="B4734" s="29"/>
      <c r="C4734" s="29"/>
      <c r="D4734" s="29"/>
      <c r="E4734" s="29"/>
      <c r="H4734" s="27"/>
      <c r="K4734"/>
      <c r="P4734" s="27"/>
      <c r="Q4734" s="27"/>
      <c r="R4734" s="27"/>
    </row>
    <row r="4735" spans="1:18">
      <c r="A4735" s="28"/>
      <c r="B4735" s="29"/>
      <c r="C4735" s="29"/>
      <c r="D4735" s="29"/>
      <c r="E4735" s="29"/>
      <c r="H4735" s="27"/>
      <c r="K4735"/>
      <c r="P4735" s="27"/>
      <c r="Q4735" s="27"/>
      <c r="R4735" s="27"/>
    </row>
    <row r="4736" spans="1:18">
      <c r="A4736" s="28"/>
      <c r="B4736" s="29"/>
      <c r="C4736" s="29"/>
      <c r="D4736" s="29"/>
      <c r="E4736" s="29"/>
      <c r="H4736" s="27"/>
      <c r="K4736"/>
      <c r="P4736" s="27"/>
      <c r="Q4736" s="27"/>
      <c r="R4736" s="27"/>
    </row>
    <row r="4737" spans="1:18">
      <c r="A4737" s="28"/>
      <c r="B4737" s="29"/>
      <c r="C4737" s="29"/>
      <c r="D4737" s="29"/>
      <c r="E4737" s="29"/>
      <c r="H4737" s="27"/>
      <c r="K4737"/>
      <c r="P4737" s="27"/>
      <c r="Q4737" s="27"/>
      <c r="R4737" s="27"/>
    </row>
    <row r="4738" spans="1:18">
      <c r="A4738" s="28"/>
      <c r="B4738" s="29"/>
      <c r="C4738" s="29"/>
      <c r="D4738" s="29"/>
      <c r="E4738" s="29"/>
      <c r="H4738" s="27"/>
      <c r="K4738"/>
      <c r="P4738" s="27"/>
      <c r="Q4738" s="27"/>
      <c r="R4738" s="27"/>
    </row>
    <row r="4739" spans="1:18">
      <c r="A4739" s="28"/>
      <c r="B4739" s="29"/>
      <c r="C4739" s="29"/>
      <c r="D4739" s="29"/>
      <c r="E4739" s="29"/>
      <c r="H4739" s="27"/>
      <c r="K4739"/>
      <c r="P4739" s="27"/>
      <c r="Q4739" s="27"/>
      <c r="R4739" s="27"/>
    </row>
    <row r="4740" spans="1:18">
      <c r="A4740" s="28"/>
      <c r="B4740" s="29"/>
      <c r="C4740" s="29"/>
      <c r="D4740" s="29"/>
      <c r="E4740" s="29"/>
      <c r="H4740" s="27"/>
      <c r="K4740"/>
      <c r="P4740" s="27"/>
      <c r="Q4740" s="27"/>
      <c r="R4740" s="27"/>
    </row>
    <row r="4741" spans="1:18">
      <c r="A4741" s="28"/>
      <c r="B4741" s="29"/>
      <c r="C4741" s="29"/>
      <c r="D4741" s="29"/>
      <c r="E4741" s="29"/>
      <c r="H4741" s="27"/>
      <c r="K4741"/>
      <c r="P4741" s="27"/>
      <c r="Q4741" s="27"/>
      <c r="R4741" s="27"/>
    </row>
    <row r="4742" spans="1:18">
      <c r="A4742" s="28"/>
      <c r="B4742" s="29"/>
      <c r="C4742" s="29"/>
      <c r="D4742" s="29"/>
      <c r="E4742" s="29"/>
      <c r="H4742" s="27"/>
      <c r="K4742"/>
      <c r="P4742" s="27"/>
      <c r="Q4742" s="27"/>
      <c r="R4742" s="27"/>
    </row>
    <row r="4743" spans="1:18">
      <c r="A4743" s="28"/>
      <c r="B4743" s="29"/>
      <c r="C4743" s="29"/>
      <c r="D4743" s="29"/>
      <c r="E4743" s="29"/>
      <c r="H4743" s="27"/>
      <c r="K4743"/>
      <c r="P4743" s="27"/>
      <c r="Q4743" s="27"/>
      <c r="R4743" s="27"/>
    </row>
    <row r="4744" spans="1:18">
      <c r="A4744" s="28"/>
      <c r="B4744" s="29"/>
      <c r="C4744" s="29"/>
      <c r="D4744" s="29"/>
      <c r="E4744" s="29"/>
      <c r="H4744" s="27"/>
      <c r="K4744"/>
      <c r="P4744" s="27"/>
      <c r="Q4744" s="27"/>
      <c r="R4744" s="27"/>
    </row>
    <row r="4745" spans="1:18">
      <c r="A4745" s="28"/>
      <c r="B4745" s="29"/>
      <c r="C4745" s="29"/>
      <c r="D4745" s="29"/>
      <c r="E4745" s="29"/>
      <c r="H4745" s="27"/>
      <c r="K4745"/>
      <c r="P4745" s="27"/>
      <c r="Q4745" s="27"/>
      <c r="R4745" s="27"/>
    </row>
    <row r="4746" spans="1:18">
      <c r="A4746" s="28"/>
      <c r="B4746" s="29"/>
      <c r="C4746" s="29"/>
      <c r="D4746" s="29"/>
      <c r="E4746" s="29"/>
      <c r="H4746" s="27"/>
      <c r="K4746"/>
      <c r="P4746" s="27"/>
      <c r="Q4746" s="27"/>
      <c r="R4746" s="27"/>
    </row>
    <row r="4747" spans="1:18">
      <c r="A4747" s="28"/>
      <c r="B4747" s="29"/>
      <c r="C4747" s="29"/>
      <c r="D4747" s="29"/>
      <c r="E4747" s="29"/>
      <c r="H4747" s="27"/>
      <c r="K4747"/>
      <c r="P4747" s="27"/>
      <c r="Q4747" s="27"/>
      <c r="R4747" s="27"/>
    </row>
    <row r="4748" spans="1:18">
      <c r="A4748" s="28"/>
      <c r="B4748" s="29"/>
      <c r="C4748" s="29"/>
      <c r="D4748" s="29"/>
      <c r="E4748" s="29"/>
      <c r="H4748" s="27"/>
      <c r="K4748"/>
      <c r="P4748" s="27"/>
      <c r="Q4748" s="27"/>
      <c r="R4748" s="27"/>
    </row>
    <row r="4749" spans="1:18">
      <c r="A4749" s="28"/>
      <c r="B4749" s="29"/>
      <c r="C4749" s="29"/>
      <c r="D4749" s="29"/>
      <c r="E4749" s="29"/>
      <c r="H4749" s="27"/>
      <c r="K4749"/>
      <c r="P4749" s="27"/>
      <c r="Q4749" s="27"/>
      <c r="R4749" s="27"/>
    </row>
    <row r="4750" spans="1:18">
      <c r="A4750" s="28"/>
      <c r="B4750" s="29"/>
      <c r="C4750" s="29"/>
      <c r="D4750" s="29"/>
      <c r="E4750" s="29"/>
      <c r="H4750" s="27"/>
      <c r="K4750"/>
      <c r="P4750" s="27"/>
      <c r="Q4750" s="27"/>
      <c r="R4750" s="27"/>
    </row>
    <row r="4751" spans="1:18">
      <c r="A4751" s="28"/>
      <c r="B4751" s="29"/>
      <c r="C4751" s="29"/>
      <c r="D4751" s="29"/>
      <c r="E4751" s="29"/>
      <c r="H4751" s="27"/>
      <c r="K4751"/>
      <c r="P4751" s="27"/>
      <c r="Q4751" s="27"/>
      <c r="R4751" s="27"/>
    </row>
    <row r="4752" spans="1:18">
      <c r="A4752" s="28"/>
      <c r="B4752" s="29"/>
      <c r="C4752" s="29"/>
      <c r="D4752" s="29"/>
      <c r="E4752" s="29"/>
      <c r="H4752" s="27"/>
      <c r="K4752"/>
      <c r="P4752" s="27"/>
      <c r="Q4752" s="27"/>
      <c r="R4752" s="27"/>
    </row>
    <row r="4753" spans="1:18">
      <c r="A4753" s="28"/>
      <c r="B4753" s="29"/>
      <c r="C4753" s="29"/>
      <c r="D4753" s="29"/>
      <c r="E4753" s="29"/>
      <c r="H4753" s="27"/>
      <c r="K4753"/>
      <c r="P4753" s="27"/>
      <c r="Q4753" s="27"/>
      <c r="R4753" s="27"/>
    </row>
    <row r="4754" spans="1:18">
      <c r="A4754" s="28"/>
      <c r="B4754" s="29"/>
      <c r="C4754" s="29"/>
      <c r="D4754" s="29"/>
      <c r="E4754" s="29"/>
      <c r="H4754" s="27"/>
      <c r="K4754"/>
      <c r="P4754" s="27"/>
      <c r="Q4754" s="27"/>
      <c r="R4754" s="27"/>
    </row>
    <row r="4755" spans="1:18">
      <c r="A4755" s="28"/>
      <c r="B4755" s="29"/>
      <c r="C4755" s="29"/>
      <c r="D4755" s="29"/>
      <c r="E4755" s="29"/>
      <c r="H4755" s="27"/>
      <c r="K4755"/>
      <c r="P4755" s="27"/>
      <c r="Q4755" s="27"/>
      <c r="R4755" s="27"/>
    </row>
    <row r="4756" spans="1:18">
      <c r="A4756" s="28"/>
      <c r="B4756" s="29"/>
      <c r="C4756" s="29"/>
      <c r="D4756" s="29"/>
      <c r="E4756" s="29"/>
      <c r="H4756" s="27"/>
      <c r="K4756"/>
      <c r="P4756" s="27"/>
      <c r="Q4756" s="27"/>
      <c r="R4756" s="27"/>
    </row>
    <row r="4757" spans="1:18">
      <c r="A4757" s="28"/>
      <c r="B4757" s="29"/>
      <c r="C4757" s="29"/>
      <c r="D4757" s="29"/>
      <c r="E4757" s="29"/>
      <c r="H4757" s="27"/>
      <c r="K4757"/>
      <c r="P4757" s="27"/>
      <c r="Q4757" s="27"/>
      <c r="R4757" s="27"/>
    </row>
    <row r="4758" spans="1:18">
      <c r="A4758" s="28"/>
      <c r="B4758" s="29"/>
      <c r="C4758" s="29"/>
      <c r="D4758" s="29"/>
      <c r="E4758" s="29"/>
      <c r="H4758" s="27"/>
      <c r="K4758"/>
      <c r="P4758" s="27"/>
      <c r="Q4758" s="27"/>
      <c r="R4758" s="27"/>
    </row>
    <row r="4759" spans="1:18">
      <c r="A4759" s="28"/>
      <c r="B4759" s="29"/>
      <c r="C4759" s="29"/>
      <c r="D4759" s="29"/>
      <c r="E4759" s="29"/>
      <c r="H4759" s="27"/>
      <c r="K4759"/>
      <c r="P4759" s="27"/>
      <c r="Q4759" s="27"/>
      <c r="R4759" s="27"/>
    </row>
    <row r="4760" spans="1:18">
      <c r="A4760" s="28"/>
      <c r="B4760" s="29"/>
      <c r="C4760" s="29"/>
      <c r="D4760" s="29"/>
      <c r="E4760" s="29"/>
      <c r="H4760" s="27"/>
      <c r="K4760"/>
      <c r="P4760" s="27"/>
      <c r="Q4760" s="27"/>
      <c r="R4760" s="27"/>
    </row>
    <row r="4761" spans="1:18">
      <c r="A4761" s="28"/>
      <c r="B4761" s="29"/>
      <c r="C4761" s="29"/>
      <c r="D4761" s="29"/>
      <c r="E4761" s="29"/>
      <c r="H4761" s="27"/>
      <c r="K4761"/>
      <c r="P4761" s="27"/>
      <c r="Q4761" s="27"/>
      <c r="R4761" s="27"/>
    </row>
    <row r="4762" spans="1:18">
      <c r="A4762" s="28"/>
      <c r="B4762" s="29"/>
      <c r="C4762" s="29"/>
      <c r="D4762" s="29"/>
      <c r="E4762" s="29"/>
      <c r="H4762" s="27"/>
      <c r="K4762"/>
      <c r="P4762" s="27"/>
      <c r="Q4762" s="27"/>
      <c r="R4762" s="27"/>
    </row>
    <row r="4763" spans="1:18">
      <c r="A4763" s="28"/>
      <c r="B4763" s="29"/>
      <c r="C4763" s="29"/>
      <c r="D4763" s="29"/>
      <c r="E4763" s="29"/>
      <c r="H4763" s="27"/>
      <c r="K4763"/>
      <c r="P4763" s="27"/>
      <c r="Q4763" s="27"/>
      <c r="R4763" s="27"/>
    </row>
    <row r="4764" spans="1:18">
      <c r="A4764" s="28"/>
      <c r="B4764" s="29"/>
      <c r="C4764" s="29"/>
      <c r="D4764" s="29"/>
      <c r="E4764" s="29"/>
      <c r="H4764" s="27"/>
      <c r="K4764"/>
      <c r="P4764" s="27"/>
      <c r="Q4764" s="27"/>
      <c r="R4764" s="27"/>
    </row>
    <row r="4765" spans="1:18">
      <c r="A4765" s="28"/>
      <c r="B4765" s="29"/>
      <c r="C4765" s="29"/>
      <c r="D4765" s="29"/>
      <c r="E4765" s="29"/>
      <c r="H4765" s="27"/>
      <c r="K4765"/>
      <c r="P4765" s="27"/>
      <c r="Q4765" s="27"/>
      <c r="R4765" s="27"/>
    </row>
    <row r="4766" spans="1:18">
      <c r="A4766" s="28"/>
      <c r="B4766" s="29"/>
      <c r="C4766" s="29"/>
      <c r="D4766" s="29"/>
      <c r="E4766" s="29"/>
      <c r="H4766" s="27"/>
      <c r="K4766"/>
      <c r="P4766" s="27"/>
      <c r="Q4766" s="27"/>
      <c r="R4766" s="27"/>
    </row>
    <row r="4767" spans="1:18">
      <c r="A4767" s="28"/>
      <c r="B4767" s="29"/>
      <c r="C4767" s="29"/>
      <c r="D4767" s="29"/>
      <c r="E4767" s="29"/>
      <c r="H4767" s="27"/>
      <c r="K4767"/>
      <c r="P4767" s="27"/>
      <c r="Q4767" s="27"/>
      <c r="R4767" s="27"/>
    </row>
    <row r="4768" spans="1:18">
      <c r="A4768" s="28"/>
      <c r="B4768" s="29"/>
      <c r="C4768" s="29"/>
      <c r="D4768" s="29"/>
      <c r="E4768" s="29"/>
      <c r="H4768" s="27"/>
      <c r="K4768"/>
      <c r="P4768" s="27"/>
      <c r="Q4768" s="27"/>
      <c r="R4768" s="27"/>
    </row>
    <row r="4769" spans="1:18">
      <c r="A4769" s="28"/>
      <c r="B4769" s="29"/>
      <c r="C4769" s="29"/>
      <c r="D4769" s="29"/>
      <c r="E4769" s="29"/>
      <c r="H4769" s="27"/>
      <c r="K4769"/>
      <c r="P4769" s="27"/>
      <c r="Q4769" s="27"/>
      <c r="R4769" s="27"/>
    </row>
    <row r="4770" spans="1:18">
      <c r="A4770" s="28"/>
      <c r="B4770" s="29"/>
      <c r="C4770" s="29"/>
      <c r="D4770" s="29"/>
      <c r="E4770" s="29"/>
      <c r="H4770" s="27"/>
      <c r="K4770"/>
      <c r="P4770" s="27"/>
      <c r="Q4770" s="27"/>
      <c r="R4770" s="27"/>
    </row>
    <row r="4771" spans="1:18">
      <c r="A4771" s="28"/>
      <c r="B4771" s="29"/>
      <c r="C4771" s="29"/>
      <c r="D4771" s="29"/>
      <c r="E4771" s="29"/>
      <c r="H4771" s="27"/>
      <c r="K4771"/>
      <c r="P4771" s="27"/>
      <c r="Q4771" s="27"/>
      <c r="R4771" s="27"/>
    </row>
    <row r="4772" spans="1:18">
      <c r="A4772" s="28"/>
      <c r="B4772" s="29"/>
      <c r="C4772" s="29"/>
      <c r="D4772" s="29"/>
      <c r="E4772" s="29"/>
      <c r="H4772" s="27"/>
      <c r="K4772"/>
      <c r="P4772" s="27"/>
      <c r="Q4772" s="27"/>
      <c r="R4772" s="27"/>
    </row>
    <row r="4773" spans="1:18">
      <c r="A4773" s="28"/>
      <c r="B4773" s="29"/>
      <c r="C4773" s="29"/>
      <c r="D4773" s="29"/>
      <c r="E4773" s="29"/>
      <c r="H4773" s="27"/>
      <c r="K4773"/>
      <c r="P4773" s="27"/>
      <c r="Q4773" s="27"/>
      <c r="R4773" s="27"/>
    </row>
    <row r="4774" spans="1:18">
      <c r="A4774" s="28"/>
      <c r="B4774" s="29"/>
      <c r="C4774" s="29"/>
      <c r="D4774" s="29"/>
      <c r="E4774" s="29"/>
      <c r="H4774" s="27"/>
      <c r="K4774"/>
      <c r="P4774" s="27"/>
      <c r="Q4774" s="27"/>
      <c r="R4774" s="27"/>
    </row>
    <row r="4775" spans="1:18">
      <c r="A4775" s="28"/>
      <c r="B4775" s="29"/>
      <c r="C4775" s="29"/>
      <c r="D4775" s="29"/>
      <c r="E4775" s="29"/>
      <c r="H4775" s="27"/>
      <c r="K4775"/>
      <c r="P4775" s="27"/>
      <c r="Q4775" s="27"/>
      <c r="R4775" s="27"/>
    </row>
    <row r="4776" spans="1:18">
      <c r="A4776" s="28"/>
      <c r="B4776" s="29"/>
      <c r="C4776" s="29"/>
      <c r="D4776" s="29"/>
      <c r="E4776" s="29"/>
      <c r="H4776" s="27"/>
      <c r="K4776"/>
      <c r="P4776" s="27"/>
      <c r="Q4776" s="27"/>
      <c r="R4776" s="27"/>
    </row>
    <row r="4777" spans="1:18">
      <c r="A4777" s="28"/>
      <c r="B4777" s="29"/>
      <c r="C4777" s="29"/>
      <c r="D4777" s="29"/>
      <c r="E4777" s="29"/>
      <c r="H4777" s="27"/>
      <c r="K4777"/>
      <c r="P4777" s="27"/>
      <c r="Q4777" s="27"/>
      <c r="R4777" s="27"/>
    </row>
    <row r="4778" spans="1:18">
      <c r="A4778" s="28"/>
      <c r="B4778" s="29"/>
      <c r="C4778" s="29"/>
      <c r="D4778" s="29"/>
      <c r="E4778" s="29"/>
      <c r="H4778" s="27"/>
      <c r="K4778"/>
      <c r="P4778" s="27"/>
      <c r="Q4778" s="27"/>
      <c r="R4778" s="27"/>
    </row>
    <row r="4779" spans="1:18">
      <c r="A4779" s="28"/>
      <c r="B4779" s="29"/>
      <c r="C4779" s="29"/>
      <c r="D4779" s="29"/>
      <c r="E4779" s="29"/>
      <c r="H4779" s="27"/>
      <c r="K4779"/>
      <c r="P4779" s="27"/>
      <c r="Q4779" s="27"/>
      <c r="R4779" s="27"/>
    </row>
    <row r="4780" spans="1:18">
      <c r="A4780" s="28"/>
      <c r="B4780" s="29"/>
      <c r="C4780" s="29"/>
      <c r="D4780" s="29"/>
      <c r="E4780" s="29"/>
      <c r="H4780" s="27"/>
      <c r="K4780"/>
      <c r="P4780" s="27"/>
      <c r="Q4780" s="27"/>
      <c r="R4780" s="27"/>
    </row>
    <row r="4781" spans="1:18">
      <c r="A4781" s="28"/>
      <c r="B4781" s="29"/>
      <c r="C4781" s="29"/>
      <c r="D4781" s="29"/>
      <c r="E4781" s="29"/>
      <c r="H4781" s="27"/>
      <c r="K4781"/>
      <c r="P4781" s="27"/>
      <c r="Q4781" s="27"/>
      <c r="R4781" s="27"/>
    </row>
    <row r="4782" spans="1:18">
      <c r="A4782" s="28"/>
      <c r="B4782" s="29"/>
      <c r="C4782" s="29"/>
      <c r="D4782" s="29"/>
      <c r="E4782" s="29"/>
      <c r="H4782" s="27"/>
      <c r="K4782"/>
      <c r="P4782" s="27"/>
      <c r="Q4782" s="27"/>
      <c r="R4782" s="27"/>
    </row>
    <row r="4783" spans="1:18">
      <c r="A4783" s="28"/>
      <c r="B4783" s="29"/>
      <c r="C4783" s="29"/>
      <c r="D4783" s="29"/>
      <c r="E4783" s="29"/>
      <c r="H4783" s="27"/>
      <c r="K4783"/>
      <c r="P4783" s="27"/>
      <c r="Q4783" s="27"/>
      <c r="R4783" s="27"/>
    </row>
    <row r="4784" spans="1:18">
      <c r="A4784" s="28"/>
      <c r="B4784" s="29"/>
      <c r="C4784" s="29"/>
      <c r="D4784" s="29"/>
      <c r="E4784" s="29"/>
      <c r="H4784" s="27"/>
      <c r="K4784"/>
      <c r="P4784" s="27"/>
      <c r="Q4784" s="27"/>
      <c r="R4784" s="27"/>
    </row>
    <row r="4785" spans="1:18">
      <c r="A4785" s="28"/>
      <c r="B4785" s="29"/>
      <c r="C4785" s="29"/>
      <c r="D4785" s="29"/>
      <c r="E4785" s="29"/>
      <c r="H4785" s="27"/>
      <c r="K4785"/>
      <c r="P4785" s="27"/>
      <c r="Q4785" s="27"/>
      <c r="R4785" s="27"/>
    </row>
    <row r="4786" spans="1:18">
      <c r="A4786" s="28"/>
      <c r="B4786" s="29"/>
      <c r="C4786" s="29"/>
      <c r="D4786" s="29"/>
      <c r="E4786" s="29"/>
      <c r="H4786" s="27"/>
      <c r="K4786"/>
      <c r="P4786" s="27"/>
      <c r="Q4786" s="27"/>
      <c r="R4786" s="27"/>
    </row>
    <row r="4787" spans="1:18">
      <c r="A4787" s="28"/>
      <c r="B4787" s="29"/>
      <c r="C4787" s="29"/>
      <c r="D4787" s="29"/>
      <c r="E4787" s="29"/>
      <c r="H4787" s="27"/>
      <c r="K4787"/>
      <c r="P4787" s="27"/>
      <c r="Q4787" s="27"/>
      <c r="R4787" s="27"/>
    </row>
    <row r="4788" spans="1:18">
      <c r="A4788" s="28"/>
      <c r="B4788" s="29"/>
      <c r="C4788" s="29"/>
      <c r="D4788" s="29"/>
      <c r="E4788" s="29"/>
      <c r="H4788" s="27"/>
      <c r="K4788"/>
      <c r="P4788" s="27"/>
      <c r="Q4788" s="27"/>
      <c r="R4788" s="27"/>
    </row>
    <row r="4789" spans="1:18">
      <c r="A4789" s="28"/>
      <c r="B4789" s="29"/>
      <c r="C4789" s="29"/>
      <c r="D4789" s="29"/>
      <c r="E4789" s="29"/>
      <c r="H4789" s="27"/>
      <c r="K4789"/>
      <c r="P4789" s="27"/>
      <c r="Q4789" s="27"/>
      <c r="R4789" s="27"/>
    </row>
    <row r="4790" spans="1:18">
      <c r="A4790" s="28"/>
      <c r="B4790" s="29"/>
      <c r="C4790" s="29"/>
      <c r="D4790" s="29"/>
      <c r="E4790" s="29"/>
      <c r="H4790" s="27"/>
      <c r="K4790"/>
      <c r="P4790" s="27"/>
      <c r="Q4790" s="27"/>
      <c r="R4790" s="27"/>
    </row>
    <row r="4791" spans="1:18">
      <c r="A4791" s="28"/>
      <c r="B4791" s="29"/>
      <c r="C4791" s="29"/>
      <c r="D4791" s="29"/>
      <c r="E4791" s="29"/>
      <c r="H4791" s="27"/>
      <c r="K4791"/>
      <c r="P4791" s="27"/>
      <c r="Q4791" s="27"/>
      <c r="R4791" s="27"/>
    </row>
    <row r="4792" spans="1:18">
      <c r="A4792" s="28"/>
      <c r="B4792" s="29"/>
      <c r="C4792" s="29"/>
      <c r="D4792" s="29"/>
      <c r="E4792" s="29"/>
      <c r="H4792" s="27"/>
      <c r="K4792"/>
      <c r="P4792" s="27"/>
      <c r="Q4792" s="27"/>
      <c r="R4792" s="27"/>
    </row>
    <row r="4793" spans="1:18">
      <c r="A4793" s="28"/>
      <c r="B4793" s="29"/>
      <c r="C4793" s="29"/>
      <c r="D4793" s="29"/>
      <c r="E4793" s="29"/>
      <c r="H4793" s="27"/>
      <c r="K4793"/>
      <c r="P4793" s="27"/>
      <c r="Q4793" s="27"/>
      <c r="R4793" s="27"/>
    </row>
    <row r="4794" spans="1:18">
      <c r="A4794" s="28"/>
      <c r="B4794" s="29"/>
      <c r="C4794" s="29"/>
      <c r="D4794" s="29"/>
      <c r="E4794" s="29"/>
      <c r="H4794" s="27"/>
      <c r="K4794"/>
      <c r="P4794" s="27"/>
      <c r="Q4794" s="27"/>
      <c r="R4794" s="27"/>
    </row>
    <row r="4795" spans="1:18">
      <c r="A4795" s="28"/>
      <c r="B4795" s="29"/>
      <c r="C4795" s="29"/>
      <c r="D4795" s="29"/>
      <c r="E4795" s="29"/>
      <c r="H4795" s="27"/>
      <c r="K4795"/>
      <c r="P4795" s="27"/>
      <c r="Q4795" s="27"/>
      <c r="R4795" s="27"/>
    </row>
    <row r="4796" spans="1:18">
      <c r="A4796" s="28"/>
      <c r="B4796" s="29"/>
      <c r="C4796" s="29"/>
      <c r="D4796" s="29"/>
      <c r="E4796" s="29"/>
      <c r="H4796" s="27"/>
      <c r="K4796"/>
      <c r="P4796" s="27"/>
      <c r="Q4796" s="27"/>
      <c r="R4796" s="27"/>
    </row>
    <row r="4797" spans="1:18">
      <c r="A4797" s="28"/>
      <c r="B4797" s="29"/>
      <c r="C4797" s="29"/>
      <c r="D4797" s="29"/>
      <c r="E4797" s="29"/>
      <c r="H4797" s="27"/>
      <c r="K4797"/>
      <c r="P4797" s="27"/>
      <c r="Q4797" s="27"/>
      <c r="R4797" s="27"/>
    </row>
    <row r="4798" spans="1:18">
      <c r="A4798" s="28"/>
      <c r="B4798" s="29"/>
      <c r="C4798" s="29"/>
      <c r="D4798" s="29"/>
      <c r="E4798" s="29"/>
      <c r="H4798" s="27"/>
      <c r="K4798"/>
      <c r="P4798" s="27"/>
      <c r="Q4798" s="27"/>
      <c r="R4798" s="27"/>
    </row>
    <row r="4799" spans="1:18">
      <c r="A4799" s="28"/>
      <c r="B4799" s="29"/>
      <c r="C4799" s="29"/>
      <c r="D4799" s="29"/>
      <c r="E4799" s="29"/>
      <c r="H4799" s="27"/>
      <c r="K4799"/>
      <c r="P4799" s="27"/>
      <c r="Q4799" s="27"/>
      <c r="R4799" s="27"/>
    </row>
    <row r="4800" spans="1:18">
      <c r="A4800" s="28"/>
      <c r="B4800" s="29"/>
      <c r="C4800" s="29"/>
      <c r="D4800" s="29"/>
      <c r="E4800" s="29"/>
      <c r="H4800" s="27"/>
      <c r="K4800"/>
      <c r="P4800" s="27"/>
      <c r="Q4800" s="27"/>
      <c r="R4800" s="27"/>
    </row>
    <row r="4801" spans="1:18">
      <c r="A4801" s="28"/>
      <c r="B4801" s="29"/>
      <c r="C4801" s="29"/>
      <c r="D4801" s="29"/>
      <c r="E4801" s="29"/>
      <c r="H4801" s="27"/>
      <c r="K4801"/>
      <c r="P4801" s="27"/>
      <c r="Q4801" s="27"/>
      <c r="R4801" s="27"/>
    </row>
    <row r="4802" spans="1:18">
      <c r="A4802" s="28"/>
      <c r="B4802" s="29"/>
      <c r="C4802" s="29"/>
      <c r="D4802" s="29"/>
      <c r="E4802" s="29"/>
      <c r="H4802" s="27"/>
      <c r="K4802"/>
      <c r="P4802" s="27"/>
      <c r="Q4802" s="27"/>
      <c r="R4802" s="27"/>
    </row>
    <row r="4803" spans="1:18">
      <c r="A4803" s="28"/>
      <c r="B4803" s="29"/>
      <c r="C4803" s="29"/>
      <c r="D4803" s="29"/>
      <c r="E4803" s="29"/>
      <c r="H4803" s="27"/>
      <c r="K4803"/>
      <c r="P4803" s="27"/>
      <c r="Q4803" s="27"/>
      <c r="R4803" s="27"/>
    </row>
    <row r="4804" spans="1:18">
      <c r="A4804" s="28"/>
      <c r="B4804" s="29"/>
      <c r="C4804" s="29"/>
      <c r="D4804" s="29"/>
      <c r="E4804" s="29"/>
      <c r="H4804" s="27"/>
      <c r="K4804"/>
      <c r="P4804" s="27"/>
      <c r="Q4804" s="27"/>
      <c r="R4804" s="27"/>
    </row>
    <row r="4805" spans="1:18">
      <c r="A4805" s="28"/>
      <c r="B4805" s="29"/>
      <c r="C4805" s="29"/>
      <c r="D4805" s="29"/>
      <c r="E4805" s="29"/>
      <c r="H4805" s="27"/>
      <c r="K4805"/>
      <c r="P4805" s="27"/>
      <c r="Q4805" s="27"/>
      <c r="R4805" s="27"/>
    </row>
    <row r="4806" spans="1:18">
      <c r="A4806" s="28"/>
      <c r="B4806" s="29"/>
      <c r="C4806" s="29"/>
      <c r="D4806" s="29"/>
      <c r="E4806" s="29"/>
      <c r="H4806" s="27"/>
      <c r="K4806"/>
      <c r="P4806" s="27"/>
      <c r="Q4806" s="27"/>
      <c r="R4806" s="27"/>
    </row>
    <row r="4807" spans="1:18">
      <c r="A4807" s="28"/>
      <c r="B4807" s="29"/>
      <c r="C4807" s="29"/>
      <c r="D4807" s="29"/>
      <c r="E4807" s="29"/>
      <c r="H4807" s="27"/>
      <c r="K4807"/>
      <c r="P4807" s="27"/>
      <c r="Q4807" s="27"/>
      <c r="R4807" s="27"/>
    </row>
    <row r="4808" spans="1:18">
      <c r="A4808" s="28"/>
      <c r="B4808" s="29"/>
      <c r="C4808" s="29"/>
      <c r="D4808" s="29"/>
      <c r="E4808" s="29"/>
      <c r="H4808" s="27"/>
      <c r="K4808"/>
      <c r="P4808" s="27"/>
      <c r="Q4808" s="27"/>
      <c r="R4808" s="27"/>
    </row>
    <row r="4809" spans="1:18">
      <c r="A4809" s="28"/>
      <c r="B4809" s="29"/>
      <c r="C4809" s="29"/>
      <c r="D4809" s="29"/>
      <c r="E4809" s="29"/>
      <c r="H4809" s="27"/>
      <c r="K4809"/>
      <c r="P4809" s="27"/>
      <c r="Q4809" s="27"/>
      <c r="R4809" s="27"/>
    </row>
    <row r="4810" spans="1:18">
      <c r="A4810" s="28"/>
      <c r="B4810" s="29"/>
      <c r="C4810" s="29"/>
      <c r="D4810" s="29"/>
      <c r="E4810" s="29"/>
      <c r="H4810" s="27"/>
      <c r="K4810"/>
      <c r="P4810" s="27"/>
      <c r="Q4810" s="27"/>
      <c r="R4810" s="27"/>
    </row>
    <row r="4811" spans="1:18">
      <c r="A4811" s="28"/>
      <c r="B4811" s="29"/>
      <c r="C4811" s="29"/>
      <c r="D4811" s="29"/>
      <c r="E4811" s="29"/>
      <c r="H4811" s="27"/>
      <c r="K4811"/>
      <c r="P4811" s="27"/>
      <c r="Q4811" s="27"/>
      <c r="R4811" s="27"/>
    </row>
    <row r="4812" spans="1:18">
      <c r="A4812" s="28"/>
      <c r="B4812" s="29"/>
      <c r="C4812" s="29"/>
      <c r="D4812" s="29"/>
      <c r="E4812" s="29"/>
      <c r="H4812" s="27"/>
      <c r="K4812"/>
      <c r="P4812" s="27"/>
      <c r="Q4812" s="27"/>
      <c r="R4812" s="27"/>
    </row>
    <row r="4813" spans="1:18">
      <c r="A4813" s="28"/>
      <c r="B4813" s="29"/>
      <c r="C4813" s="29"/>
      <c r="D4813" s="29"/>
      <c r="E4813" s="29"/>
      <c r="H4813" s="27"/>
      <c r="K4813"/>
      <c r="P4813" s="27"/>
      <c r="Q4813" s="27"/>
      <c r="R4813" s="27"/>
    </row>
    <row r="4814" spans="1:18">
      <c r="A4814" s="28"/>
      <c r="B4814" s="29"/>
      <c r="C4814" s="29"/>
      <c r="D4814" s="29"/>
      <c r="E4814" s="29"/>
      <c r="H4814" s="27"/>
      <c r="K4814"/>
      <c r="P4814" s="27"/>
      <c r="Q4814" s="27"/>
      <c r="R4814" s="27"/>
    </row>
    <row r="4815" spans="1:18">
      <c r="A4815" s="28"/>
      <c r="B4815" s="29"/>
      <c r="C4815" s="29"/>
      <c r="D4815" s="29"/>
      <c r="E4815" s="29"/>
      <c r="H4815" s="27"/>
      <c r="K4815"/>
      <c r="P4815" s="27"/>
      <c r="Q4815" s="27"/>
      <c r="R4815" s="27"/>
    </row>
    <row r="4816" spans="1:18">
      <c r="A4816" s="28"/>
      <c r="B4816" s="29"/>
      <c r="C4816" s="29"/>
      <c r="D4816" s="29"/>
      <c r="E4816" s="29"/>
      <c r="H4816" s="27"/>
      <c r="K4816"/>
      <c r="P4816" s="27"/>
      <c r="Q4816" s="27"/>
      <c r="R4816" s="27"/>
    </row>
    <row r="4817" spans="1:18">
      <c r="A4817" s="28"/>
      <c r="B4817" s="29"/>
      <c r="C4817" s="29"/>
      <c r="D4817" s="29"/>
      <c r="E4817" s="29"/>
      <c r="H4817" s="27"/>
      <c r="K4817"/>
      <c r="P4817" s="27"/>
      <c r="Q4817" s="27"/>
      <c r="R4817" s="27"/>
    </row>
    <row r="4818" spans="1:18">
      <c r="A4818" s="28"/>
      <c r="B4818" s="29"/>
      <c r="C4818" s="29"/>
      <c r="D4818" s="29"/>
      <c r="E4818" s="29"/>
      <c r="H4818" s="27"/>
      <c r="K4818"/>
      <c r="P4818" s="27"/>
      <c r="Q4818" s="27"/>
      <c r="R4818" s="27"/>
    </row>
    <row r="4819" spans="1:18">
      <c r="A4819" s="28"/>
      <c r="B4819" s="29"/>
      <c r="C4819" s="29"/>
      <c r="D4819" s="29"/>
      <c r="E4819" s="29"/>
      <c r="H4819" s="27"/>
      <c r="K4819"/>
      <c r="P4819" s="27"/>
      <c r="Q4819" s="27"/>
      <c r="R4819" s="27"/>
    </row>
    <row r="4820" spans="1:18">
      <c r="A4820" s="28"/>
      <c r="B4820" s="29"/>
      <c r="C4820" s="29"/>
      <c r="D4820" s="29"/>
      <c r="E4820" s="29"/>
      <c r="H4820" s="27"/>
      <c r="K4820"/>
      <c r="P4820" s="27"/>
      <c r="Q4820" s="27"/>
      <c r="R4820" s="27"/>
    </row>
    <row r="4821" spans="1:18">
      <c r="A4821" s="28"/>
      <c r="B4821" s="29"/>
      <c r="C4821" s="29"/>
      <c r="D4821" s="29"/>
      <c r="E4821" s="29"/>
      <c r="H4821" s="27"/>
      <c r="K4821"/>
      <c r="P4821" s="27"/>
      <c r="Q4821" s="27"/>
      <c r="R4821" s="27"/>
    </row>
    <row r="4822" spans="1:18">
      <c r="A4822" s="28"/>
      <c r="B4822" s="29"/>
      <c r="C4822" s="29"/>
      <c r="D4822" s="29"/>
      <c r="E4822" s="29"/>
      <c r="H4822" s="27"/>
      <c r="K4822"/>
      <c r="P4822" s="27"/>
      <c r="Q4822" s="27"/>
      <c r="R4822" s="27"/>
    </row>
    <row r="4823" spans="1:18">
      <c r="A4823" s="28"/>
      <c r="B4823" s="29"/>
      <c r="C4823" s="29"/>
      <c r="D4823" s="29"/>
      <c r="E4823" s="29"/>
      <c r="H4823" s="27"/>
      <c r="K4823"/>
      <c r="P4823" s="27"/>
      <c r="Q4823" s="27"/>
      <c r="R4823" s="27"/>
    </row>
    <row r="4824" spans="1:18">
      <c r="A4824" s="28"/>
      <c r="B4824" s="29"/>
      <c r="C4824" s="29"/>
      <c r="D4824" s="29"/>
      <c r="E4824" s="29"/>
      <c r="H4824" s="27"/>
      <c r="K4824"/>
      <c r="P4824" s="27"/>
      <c r="Q4824" s="27"/>
      <c r="R4824" s="27"/>
    </row>
    <row r="4825" spans="1:18">
      <c r="A4825" s="28"/>
      <c r="B4825" s="29"/>
      <c r="C4825" s="29"/>
      <c r="D4825" s="29"/>
      <c r="E4825" s="29"/>
      <c r="H4825" s="27"/>
      <c r="K4825"/>
      <c r="P4825" s="27"/>
      <c r="Q4825" s="27"/>
      <c r="R4825" s="27"/>
    </row>
    <row r="4826" spans="1:18">
      <c r="A4826" s="28"/>
      <c r="B4826" s="29"/>
      <c r="C4826" s="29"/>
      <c r="D4826" s="29"/>
      <c r="E4826" s="29"/>
      <c r="H4826" s="27"/>
      <c r="K4826"/>
      <c r="P4826" s="27"/>
      <c r="Q4826" s="27"/>
      <c r="R4826" s="27"/>
    </row>
    <row r="4827" spans="1:18">
      <c r="A4827" s="28"/>
      <c r="B4827" s="29"/>
      <c r="C4827" s="29"/>
      <c r="D4827" s="29"/>
      <c r="E4827" s="29"/>
      <c r="H4827" s="27"/>
      <c r="K4827"/>
      <c r="P4827" s="27"/>
      <c r="Q4827" s="27"/>
      <c r="R4827" s="27"/>
    </row>
    <row r="4828" spans="1:18">
      <c r="A4828" s="28"/>
      <c r="B4828" s="29"/>
      <c r="C4828" s="29"/>
      <c r="D4828" s="29"/>
      <c r="E4828" s="29"/>
      <c r="H4828" s="27"/>
      <c r="K4828"/>
      <c r="P4828" s="27"/>
      <c r="Q4828" s="27"/>
      <c r="R4828" s="27"/>
    </row>
    <row r="4829" spans="1:18">
      <c r="A4829" s="28"/>
      <c r="B4829" s="29"/>
      <c r="C4829" s="29"/>
      <c r="D4829" s="29"/>
      <c r="E4829" s="29"/>
      <c r="H4829" s="27"/>
      <c r="K4829"/>
      <c r="P4829" s="27"/>
      <c r="Q4829" s="27"/>
      <c r="R4829" s="27"/>
    </row>
    <row r="4830" spans="1:18">
      <c r="A4830" s="28"/>
      <c r="B4830" s="29"/>
      <c r="C4830" s="29"/>
      <c r="D4830" s="29"/>
      <c r="E4830" s="29"/>
      <c r="H4830" s="27"/>
      <c r="K4830"/>
      <c r="P4830" s="27"/>
      <c r="Q4830" s="27"/>
      <c r="R4830" s="27"/>
    </row>
    <row r="4831" spans="1:18">
      <c r="A4831" s="28"/>
      <c r="B4831" s="29"/>
      <c r="C4831" s="29"/>
      <c r="D4831" s="29"/>
      <c r="E4831" s="29"/>
      <c r="H4831" s="27"/>
      <c r="K4831"/>
      <c r="P4831" s="27"/>
      <c r="Q4831" s="27"/>
      <c r="R4831" s="27"/>
    </row>
    <row r="4832" spans="1:18">
      <c r="A4832" s="28"/>
      <c r="B4832" s="29"/>
      <c r="C4832" s="29"/>
      <c r="D4832" s="29"/>
      <c r="E4832" s="29"/>
      <c r="H4832" s="27"/>
      <c r="K4832"/>
      <c r="P4832" s="27"/>
      <c r="Q4832" s="27"/>
      <c r="R4832" s="27"/>
    </row>
    <row r="4833" spans="1:18">
      <c r="A4833" s="28"/>
      <c r="B4833" s="29"/>
      <c r="C4833" s="29"/>
      <c r="D4833" s="29"/>
      <c r="E4833" s="29"/>
      <c r="H4833" s="27"/>
      <c r="K4833"/>
      <c r="P4833" s="27"/>
      <c r="Q4833" s="27"/>
      <c r="R4833" s="27"/>
    </row>
    <row r="4834" spans="1:18">
      <c r="A4834" s="28"/>
      <c r="B4834" s="29"/>
      <c r="C4834" s="29"/>
      <c r="D4834" s="29"/>
      <c r="E4834" s="29"/>
      <c r="H4834" s="27"/>
      <c r="K4834"/>
      <c r="P4834" s="27"/>
      <c r="Q4834" s="27"/>
      <c r="R4834" s="27"/>
    </row>
    <row r="4835" spans="1:18">
      <c r="A4835" s="28"/>
      <c r="B4835" s="29"/>
      <c r="C4835" s="29"/>
      <c r="D4835" s="29"/>
      <c r="E4835" s="29"/>
      <c r="H4835" s="27"/>
      <c r="K4835"/>
      <c r="P4835" s="27"/>
      <c r="Q4835" s="27"/>
      <c r="R4835" s="27"/>
    </row>
    <row r="4836" spans="1:18">
      <c r="A4836" s="28"/>
      <c r="B4836" s="29"/>
      <c r="C4836" s="29"/>
      <c r="D4836" s="29"/>
      <c r="E4836" s="29"/>
      <c r="H4836" s="27"/>
      <c r="K4836"/>
      <c r="P4836" s="27"/>
      <c r="Q4836" s="27"/>
      <c r="R4836" s="27"/>
    </row>
    <row r="4837" spans="1:18">
      <c r="A4837" s="28"/>
      <c r="B4837" s="29"/>
      <c r="C4837" s="29"/>
      <c r="D4837" s="29"/>
      <c r="E4837" s="29"/>
      <c r="H4837" s="27"/>
      <c r="K4837"/>
      <c r="P4837" s="27"/>
      <c r="Q4837" s="27"/>
      <c r="R4837" s="27"/>
    </row>
    <row r="4838" spans="1:18">
      <c r="A4838" s="28"/>
      <c r="B4838" s="29"/>
      <c r="C4838" s="29"/>
      <c r="D4838" s="29"/>
      <c r="E4838" s="29"/>
      <c r="H4838" s="27"/>
      <c r="K4838"/>
      <c r="P4838" s="27"/>
      <c r="Q4838" s="27"/>
      <c r="R4838" s="27"/>
    </row>
    <row r="4839" spans="1:18">
      <c r="A4839" s="28"/>
      <c r="B4839" s="29"/>
      <c r="C4839" s="29"/>
      <c r="D4839" s="29"/>
      <c r="E4839" s="29"/>
      <c r="H4839" s="27"/>
      <c r="K4839"/>
      <c r="P4839" s="27"/>
      <c r="Q4839" s="27"/>
      <c r="R4839" s="27"/>
    </row>
    <row r="4840" spans="1:18">
      <c r="A4840" s="28"/>
      <c r="B4840" s="29"/>
      <c r="C4840" s="29"/>
      <c r="D4840" s="29"/>
      <c r="E4840" s="29"/>
      <c r="H4840" s="27"/>
      <c r="K4840"/>
      <c r="P4840" s="27"/>
      <c r="Q4840" s="27"/>
      <c r="R4840" s="27"/>
    </row>
    <row r="4841" spans="1:18">
      <c r="A4841" s="28"/>
      <c r="B4841" s="29"/>
      <c r="C4841" s="29"/>
      <c r="D4841" s="29"/>
      <c r="E4841" s="29"/>
      <c r="H4841" s="27"/>
      <c r="K4841"/>
      <c r="P4841" s="27"/>
      <c r="Q4841" s="27"/>
      <c r="R4841" s="27"/>
    </row>
    <row r="4842" spans="1:18">
      <c r="A4842" s="28"/>
      <c r="B4842" s="29"/>
      <c r="C4842" s="29"/>
      <c r="D4842" s="29"/>
      <c r="E4842" s="29"/>
      <c r="H4842" s="27"/>
      <c r="K4842"/>
      <c r="P4842" s="27"/>
      <c r="Q4842" s="27"/>
      <c r="R4842" s="27"/>
    </row>
    <row r="4843" spans="1:18">
      <c r="A4843" s="28"/>
      <c r="B4843" s="29"/>
      <c r="C4843" s="29"/>
      <c r="D4843" s="29"/>
      <c r="E4843" s="29"/>
      <c r="H4843" s="27"/>
      <c r="K4843"/>
      <c r="P4843" s="27"/>
      <c r="Q4843" s="27"/>
      <c r="R4843" s="27"/>
    </row>
    <row r="4844" spans="1:18">
      <c r="A4844" s="28"/>
      <c r="B4844" s="29"/>
      <c r="C4844" s="29"/>
      <c r="D4844" s="29"/>
      <c r="E4844" s="29"/>
      <c r="H4844" s="27"/>
      <c r="K4844"/>
      <c r="P4844" s="27"/>
      <c r="Q4844" s="27"/>
      <c r="R4844" s="27"/>
    </row>
    <row r="4845" spans="1:18">
      <c r="A4845" s="28"/>
      <c r="B4845" s="29"/>
      <c r="C4845" s="29"/>
      <c r="D4845" s="29"/>
      <c r="E4845" s="29"/>
      <c r="H4845" s="27"/>
      <c r="K4845"/>
      <c r="P4845" s="27"/>
      <c r="Q4845" s="27"/>
      <c r="R4845" s="27"/>
    </row>
    <row r="4846" spans="1:18">
      <c r="A4846" s="28"/>
      <c r="B4846" s="29"/>
      <c r="C4846" s="29"/>
      <c r="D4846" s="29"/>
      <c r="E4846" s="29"/>
      <c r="H4846" s="27"/>
      <c r="K4846"/>
      <c r="P4846" s="27"/>
      <c r="Q4846" s="27"/>
      <c r="R4846" s="27"/>
    </row>
    <row r="4847" spans="1:18">
      <c r="A4847" s="28"/>
      <c r="B4847" s="29"/>
      <c r="C4847" s="29"/>
      <c r="D4847" s="29"/>
      <c r="E4847" s="29"/>
      <c r="H4847" s="27"/>
      <c r="K4847"/>
      <c r="P4847" s="27"/>
      <c r="Q4847" s="27"/>
      <c r="R4847" s="27"/>
    </row>
    <row r="4848" spans="1:18">
      <c r="A4848" s="28"/>
      <c r="B4848" s="29"/>
      <c r="C4848" s="29"/>
      <c r="D4848" s="29"/>
      <c r="E4848" s="29"/>
      <c r="H4848" s="27"/>
      <c r="K4848"/>
      <c r="P4848" s="27"/>
      <c r="Q4848" s="27"/>
      <c r="R4848" s="27"/>
    </row>
    <row r="4849" spans="1:18">
      <c r="A4849" s="28"/>
      <c r="B4849" s="29"/>
      <c r="C4849" s="29"/>
      <c r="D4849" s="29"/>
      <c r="E4849" s="29"/>
      <c r="H4849" s="27"/>
      <c r="K4849"/>
      <c r="P4849" s="27"/>
      <c r="Q4849" s="27"/>
      <c r="R4849" s="27"/>
    </row>
    <row r="4850" spans="1:18">
      <c r="A4850" s="28"/>
      <c r="B4850" s="29"/>
      <c r="C4850" s="29"/>
      <c r="D4850" s="29"/>
      <c r="E4850" s="29"/>
      <c r="H4850" s="27"/>
      <c r="K4850"/>
      <c r="P4850" s="27"/>
      <c r="Q4850" s="27"/>
      <c r="R4850" s="27"/>
    </row>
    <row r="4851" spans="1:18">
      <c r="A4851" s="28"/>
      <c r="B4851" s="29"/>
      <c r="C4851" s="29"/>
      <c r="D4851" s="29"/>
      <c r="E4851" s="29"/>
      <c r="H4851" s="27"/>
      <c r="K4851"/>
      <c r="P4851" s="27"/>
      <c r="Q4851" s="27"/>
      <c r="R4851" s="27"/>
    </row>
    <row r="4852" spans="1:18">
      <c r="A4852" s="28"/>
      <c r="B4852" s="29"/>
      <c r="C4852" s="29"/>
      <c r="D4852" s="29"/>
      <c r="E4852" s="29"/>
      <c r="H4852" s="27"/>
      <c r="K4852"/>
      <c r="P4852" s="27"/>
      <c r="Q4852" s="27"/>
      <c r="R4852" s="27"/>
    </row>
    <row r="4853" spans="1:18">
      <c r="A4853" s="28"/>
      <c r="B4853" s="29"/>
      <c r="C4853" s="29"/>
      <c r="D4853" s="29"/>
      <c r="E4853" s="29"/>
      <c r="H4853" s="27"/>
      <c r="K4853"/>
      <c r="P4853" s="27"/>
      <c r="Q4853" s="27"/>
      <c r="R4853" s="27"/>
    </row>
    <row r="4854" spans="1:18">
      <c r="A4854" s="28"/>
      <c r="B4854" s="29"/>
      <c r="C4854" s="29"/>
      <c r="D4854" s="29"/>
      <c r="E4854" s="29"/>
      <c r="H4854" s="27"/>
      <c r="K4854"/>
      <c r="P4854" s="27"/>
      <c r="Q4854" s="27"/>
      <c r="R4854" s="27"/>
    </row>
    <row r="4855" spans="1:18">
      <c r="A4855" s="28"/>
      <c r="B4855" s="29"/>
      <c r="C4855" s="29"/>
      <c r="D4855" s="29"/>
      <c r="E4855" s="29"/>
      <c r="H4855" s="27"/>
      <c r="K4855"/>
      <c r="P4855" s="27"/>
      <c r="Q4855" s="27"/>
      <c r="R4855" s="27"/>
    </row>
    <row r="4856" spans="1:18">
      <c r="A4856" s="28"/>
      <c r="B4856" s="29"/>
      <c r="C4856" s="29"/>
      <c r="D4856" s="29"/>
      <c r="E4856" s="29"/>
      <c r="H4856" s="27"/>
      <c r="K4856"/>
      <c r="P4856" s="27"/>
      <c r="Q4856" s="27"/>
      <c r="R4856" s="27"/>
    </row>
    <row r="4857" spans="1:18">
      <c r="A4857" s="28"/>
      <c r="B4857" s="29"/>
      <c r="C4857" s="29"/>
      <c r="D4857" s="29"/>
      <c r="E4857" s="29"/>
      <c r="H4857" s="27"/>
      <c r="K4857"/>
      <c r="P4857" s="27"/>
      <c r="Q4857" s="27"/>
      <c r="R4857" s="27"/>
    </row>
    <row r="4858" spans="1:18">
      <c r="A4858" s="28"/>
      <c r="B4858" s="29"/>
      <c r="C4858" s="29"/>
      <c r="D4858" s="29"/>
      <c r="E4858" s="29"/>
      <c r="H4858" s="27"/>
      <c r="K4858"/>
      <c r="P4858" s="27"/>
      <c r="Q4858" s="27"/>
      <c r="R4858" s="27"/>
    </row>
    <row r="4859" spans="1:18">
      <c r="A4859" s="28"/>
      <c r="B4859" s="29"/>
      <c r="C4859" s="29"/>
      <c r="D4859" s="29"/>
      <c r="E4859" s="29"/>
      <c r="H4859" s="27"/>
      <c r="K4859"/>
      <c r="P4859" s="27"/>
      <c r="Q4859" s="27"/>
      <c r="R4859" s="27"/>
    </row>
    <row r="4860" spans="1:18">
      <c r="A4860" s="28"/>
      <c r="B4860" s="29"/>
      <c r="C4860" s="29"/>
      <c r="D4860" s="29"/>
      <c r="E4860" s="29"/>
      <c r="H4860" s="27"/>
      <c r="K4860"/>
      <c r="P4860" s="27"/>
      <c r="Q4860" s="27"/>
      <c r="R4860" s="27"/>
    </row>
    <row r="4861" spans="1:18">
      <c r="A4861" s="28"/>
      <c r="B4861" s="29"/>
      <c r="C4861" s="29"/>
      <c r="D4861" s="29"/>
      <c r="E4861" s="29"/>
      <c r="H4861" s="27"/>
      <c r="K4861"/>
      <c r="P4861" s="27"/>
      <c r="Q4861" s="27"/>
      <c r="R4861" s="27"/>
    </row>
    <row r="4862" spans="1:18">
      <c r="A4862" s="28"/>
      <c r="B4862" s="29"/>
      <c r="C4862" s="29"/>
      <c r="D4862" s="29"/>
      <c r="E4862" s="29"/>
      <c r="H4862" s="27"/>
      <c r="K4862"/>
      <c r="P4862" s="27"/>
      <c r="Q4862" s="27"/>
      <c r="R4862" s="27"/>
    </row>
    <row r="4863" spans="1:18">
      <c r="A4863" s="28"/>
      <c r="B4863" s="29"/>
      <c r="C4863" s="29"/>
      <c r="D4863" s="29"/>
      <c r="E4863" s="29"/>
      <c r="H4863" s="27"/>
      <c r="K4863"/>
      <c r="P4863" s="27"/>
      <c r="Q4863" s="27"/>
      <c r="R4863" s="27"/>
    </row>
    <row r="4864" spans="1:18">
      <c r="A4864" s="28"/>
      <c r="B4864" s="29"/>
      <c r="C4864" s="29"/>
      <c r="D4864" s="29"/>
      <c r="E4864" s="29"/>
      <c r="H4864" s="27"/>
      <c r="K4864"/>
      <c r="P4864" s="27"/>
      <c r="Q4864" s="27"/>
      <c r="R4864" s="27"/>
    </row>
    <row r="4865" spans="1:18">
      <c r="A4865" s="28"/>
      <c r="B4865" s="29"/>
      <c r="C4865" s="29"/>
      <c r="D4865" s="29"/>
      <c r="E4865" s="29"/>
      <c r="H4865" s="27"/>
      <c r="K4865"/>
      <c r="P4865" s="27"/>
      <c r="Q4865" s="27"/>
      <c r="R4865" s="27"/>
    </row>
    <row r="4866" spans="1:18">
      <c r="A4866" s="28"/>
      <c r="B4866" s="29"/>
      <c r="C4866" s="29"/>
      <c r="D4866" s="29"/>
      <c r="E4866" s="29"/>
      <c r="H4866" s="27"/>
      <c r="K4866"/>
      <c r="P4866" s="27"/>
      <c r="Q4866" s="27"/>
      <c r="R4866" s="27"/>
    </row>
    <row r="4867" spans="1:18">
      <c r="A4867" s="28"/>
      <c r="B4867" s="29"/>
      <c r="C4867" s="29"/>
      <c r="D4867" s="29"/>
      <c r="E4867" s="29"/>
      <c r="H4867" s="27"/>
      <c r="K4867"/>
      <c r="P4867" s="27"/>
      <c r="Q4867" s="27"/>
      <c r="R4867" s="27"/>
    </row>
    <row r="4868" spans="1:18">
      <c r="A4868" s="28"/>
      <c r="B4868" s="29"/>
      <c r="C4868" s="29"/>
      <c r="D4868" s="29"/>
      <c r="E4868" s="29"/>
      <c r="H4868" s="27"/>
      <c r="K4868"/>
      <c r="P4868" s="27"/>
      <c r="Q4868" s="27"/>
      <c r="R4868" s="27"/>
    </row>
    <row r="4869" spans="1:18">
      <c r="A4869" s="28"/>
      <c r="B4869" s="29"/>
      <c r="C4869" s="29"/>
      <c r="D4869" s="29"/>
      <c r="E4869" s="29"/>
      <c r="H4869" s="27"/>
      <c r="K4869"/>
      <c r="P4869" s="27"/>
      <c r="Q4869" s="27"/>
      <c r="R4869" s="27"/>
    </row>
    <row r="4870" spans="1:18">
      <c r="A4870" s="28"/>
      <c r="B4870" s="29"/>
      <c r="C4870" s="29"/>
      <c r="D4870" s="29"/>
      <c r="E4870" s="29"/>
      <c r="H4870" s="27"/>
      <c r="K4870"/>
      <c r="P4870" s="27"/>
      <c r="Q4870" s="27"/>
      <c r="R4870" s="27"/>
    </row>
    <row r="4871" spans="1:18">
      <c r="A4871" s="28"/>
      <c r="B4871" s="29"/>
      <c r="C4871" s="29"/>
      <c r="D4871" s="29"/>
      <c r="E4871" s="29"/>
      <c r="H4871" s="27"/>
      <c r="K4871"/>
      <c r="P4871" s="27"/>
      <c r="Q4871" s="27"/>
      <c r="R4871" s="27"/>
    </row>
    <row r="4872" spans="1:18">
      <c r="A4872" s="28"/>
      <c r="B4872" s="29"/>
      <c r="C4872" s="29"/>
      <c r="D4872" s="29"/>
      <c r="E4872" s="29"/>
      <c r="H4872" s="27"/>
      <c r="K4872"/>
      <c r="P4872" s="27"/>
      <c r="Q4872" s="27"/>
      <c r="R4872" s="27"/>
    </row>
    <row r="4873" spans="1:18">
      <c r="A4873" s="28"/>
      <c r="B4873" s="29"/>
      <c r="C4873" s="29"/>
      <c r="D4873" s="29"/>
      <c r="E4873" s="29"/>
      <c r="H4873" s="27"/>
      <c r="K4873"/>
      <c r="P4873" s="27"/>
      <c r="Q4873" s="27"/>
      <c r="R4873" s="27"/>
    </row>
    <row r="4874" spans="1:18">
      <c r="A4874" s="28"/>
      <c r="B4874" s="29"/>
      <c r="C4874" s="29"/>
      <c r="D4874" s="29"/>
      <c r="E4874" s="29"/>
      <c r="H4874" s="27"/>
      <c r="K4874"/>
      <c r="P4874" s="27"/>
      <c r="Q4874" s="27"/>
      <c r="R4874" s="27"/>
    </row>
    <row r="4875" spans="1:18">
      <c r="A4875" s="28"/>
      <c r="B4875" s="29"/>
      <c r="C4875" s="29"/>
      <c r="D4875" s="29"/>
      <c r="E4875" s="29"/>
      <c r="H4875" s="27"/>
      <c r="K4875"/>
      <c r="P4875" s="27"/>
      <c r="Q4875" s="27"/>
      <c r="R4875" s="27"/>
    </row>
    <row r="4876" spans="1:18">
      <c r="A4876" s="28"/>
      <c r="B4876" s="29"/>
      <c r="C4876" s="29"/>
      <c r="D4876" s="29"/>
      <c r="E4876" s="29"/>
      <c r="H4876" s="27"/>
      <c r="K4876"/>
      <c r="P4876" s="27"/>
      <c r="Q4876" s="27"/>
      <c r="R4876" s="27"/>
    </row>
    <row r="4877" spans="1:18">
      <c r="A4877" s="28"/>
      <c r="B4877" s="29"/>
      <c r="C4877" s="29"/>
      <c r="D4877" s="29"/>
      <c r="E4877" s="29"/>
      <c r="H4877" s="27"/>
      <c r="K4877"/>
      <c r="P4877" s="27"/>
      <c r="Q4877" s="27"/>
      <c r="R4877" s="27"/>
    </row>
    <row r="4878" spans="1:18">
      <c r="A4878" s="28"/>
      <c r="B4878" s="29"/>
      <c r="C4878" s="29"/>
      <c r="D4878" s="29"/>
      <c r="E4878" s="29"/>
      <c r="H4878" s="27"/>
      <c r="K4878"/>
      <c r="P4878" s="27"/>
      <c r="Q4878" s="27"/>
      <c r="R4878" s="27"/>
    </row>
    <row r="4879" spans="1:18">
      <c r="A4879" s="28"/>
      <c r="B4879" s="29"/>
      <c r="C4879" s="29"/>
      <c r="D4879" s="29"/>
      <c r="E4879" s="29"/>
      <c r="H4879" s="27"/>
      <c r="K4879"/>
      <c r="P4879" s="27"/>
      <c r="Q4879" s="27"/>
      <c r="R4879" s="27"/>
    </row>
    <row r="4880" spans="1:18">
      <c r="A4880" s="28"/>
      <c r="B4880" s="29"/>
      <c r="C4880" s="29"/>
      <c r="D4880" s="29"/>
      <c r="E4880" s="29"/>
      <c r="H4880" s="27"/>
      <c r="K4880"/>
      <c r="P4880" s="27"/>
      <c r="Q4880" s="27"/>
      <c r="R4880" s="27"/>
    </row>
    <row r="4881" spans="1:18">
      <c r="A4881" s="28"/>
      <c r="B4881" s="29"/>
      <c r="C4881" s="29"/>
      <c r="D4881" s="29"/>
      <c r="E4881" s="29"/>
      <c r="H4881" s="27"/>
      <c r="K4881"/>
      <c r="P4881" s="27"/>
      <c r="Q4881" s="27"/>
      <c r="R4881" s="27"/>
    </row>
    <row r="4882" spans="1:18">
      <c r="A4882" s="28"/>
      <c r="B4882" s="29"/>
      <c r="C4882" s="29"/>
      <c r="D4882" s="29"/>
      <c r="E4882" s="29"/>
      <c r="H4882" s="27"/>
      <c r="K4882"/>
      <c r="P4882" s="27"/>
      <c r="Q4882" s="27"/>
      <c r="R4882" s="27"/>
    </row>
    <row r="4883" spans="1:18">
      <c r="A4883" s="28"/>
      <c r="B4883" s="29"/>
      <c r="C4883" s="29"/>
      <c r="D4883" s="29"/>
      <c r="E4883" s="29"/>
      <c r="H4883" s="27"/>
      <c r="K4883"/>
      <c r="P4883" s="27"/>
      <c r="Q4883" s="27"/>
      <c r="R4883" s="27"/>
    </row>
    <row r="4884" spans="1:18">
      <c r="A4884" s="28"/>
      <c r="B4884" s="29"/>
      <c r="C4884" s="29"/>
      <c r="D4884" s="29"/>
      <c r="E4884" s="29"/>
      <c r="H4884" s="27"/>
      <c r="K4884"/>
      <c r="P4884" s="27"/>
      <c r="Q4884" s="27"/>
      <c r="R4884" s="27"/>
    </row>
    <row r="4885" spans="1:18">
      <c r="A4885" s="28"/>
      <c r="B4885" s="29"/>
      <c r="C4885" s="29"/>
      <c r="D4885" s="29"/>
      <c r="E4885" s="29"/>
      <c r="H4885" s="27"/>
      <c r="K4885"/>
      <c r="P4885" s="27"/>
      <c r="Q4885" s="27"/>
      <c r="R4885" s="27"/>
    </row>
    <row r="4886" spans="1:18">
      <c r="A4886" s="28"/>
      <c r="B4886" s="29"/>
      <c r="C4886" s="29"/>
      <c r="D4886" s="29"/>
      <c r="E4886" s="29"/>
      <c r="H4886" s="27"/>
      <c r="K4886"/>
      <c r="P4886" s="27"/>
      <c r="Q4886" s="27"/>
      <c r="R4886" s="27"/>
    </row>
    <row r="4887" spans="1:18">
      <c r="A4887" s="28"/>
      <c r="B4887" s="29"/>
      <c r="C4887" s="29"/>
      <c r="D4887" s="29"/>
      <c r="E4887" s="29"/>
      <c r="H4887" s="27"/>
      <c r="K4887"/>
      <c r="P4887" s="27"/>
      <c r="Q4887" s="27"/>
      <c r="R4887" s="27"/>
    </row>
    <row r="4888" spans="1:18">
      <c r="A4888" s="28"/>
      <c r="B4888" s="29"/>
      <c r="C4888" s="29"/>
      <c r="D4888" s="29"/>
      <c r="E4888" s="29"/>
      <c r="H4888" s="27"/>
      <c r="K4888"/>
      <c r="P4888" s="27"/>
      <c r="Q4888" s="27"/>
      <c r="R4888" s="27"/>
    </row>
    <row r="4889" spans="1:18">
      <c r="A4889" s="28"/>
      <c r="B4889" s="29"/>
      <c r="C4889" s="29"/>
      <c r="D4889" s="29"/>
      <c r="E4889" s="29"/>
      <c r="H4889" s="27"/>
      <c r="K4889"/>
      <c r="P4889" s="27"/>
      <c r="Q4889" s="27"/>
      <c r="R4889" s="27"/>
    </row>
    <row r="4890" spans="1:18">
      <c r="A4890" s="28"/>
      <c r="B4890" s="29"/>
      <c r="C4890" s="29"/>
      <c r="D4890" s="29"/>
      <c r="E4890" s="29"/>
      <c r="H4890" s="27"/>
      <c r="K4890"/>
      <c r="P4890" s="27"/>
      <c r="Q4890" s="27"/>
      <c r="R4890" s="27"/>
    </row>
    <row r="4891" spans="1:18">
      <c r="A4891" s="28"/>
      <c r="B4891" s="29"/>
      <c r="C4891" s="29"/>
      <c r="D4891" s="29"/>
      <c r="E4891" s="29"/>
      <c r="H4891" s="27"/>
      <c r="K4891"/>
      <c r="P4891" s="27"/>
      <c r="Q4891" s="27"/>
      <c r="R4891" s="27"/>
    </row>
    <row r="4892" spans="1:18">
      <c r="A4892" s="28"/>
      <c r="B4892" s="29"/>
      <c r="C4892" s="29"/>
      <c r="D4892" s="29"/>
      <c r="E4892" s="29"/>
      <c r="H4892" s="27"/>
      <c r="K4892"/>
      <c r="P4892" s="27"/>
      <c r="Q4892" s="27"/>
      <c r="R4892" s="27"/>
    </row>
    <row r="4893" spans="1:18">
      <c r="A4893" s="28"/>
      <c r="B4893" s="29"/>
      <c r="C4893" s="29"/>
      <c r="D4893" s="29"/>
      <c r="E4893" s="29"/>
      <c r="H4893" s="27"/>
      <c r="K4893"/>
      <c r="P4893" s="27"/>
      <c r="Q4893" s="27"/>
      <c r="R4893" s="27"/>
    </row>
    <row r="4894" spans="1:18">
      <c r="A4894" s="28"/>
      <c r="B4894" s="29"/>
      <c r="C4894" s="29"/>
      <c r="D4894" s="29"/>
      <c r="E4894" s="29"/>
      <c r="H4894" s="27"/>
      <c r="K4894"/>
      <c r="P4894" s="27"/>
      <c r="Q4894" s="27"/>
      <c r="R4894" s="27"/>
    </row>
    <row r="4895" spans="1:18">
      <c r="A4895" s="28"/>
      <c r="B4895" s="29"/>
      <c r="C4895" s="29"/>
      <c r="D4895" s="29"/>
      <c r="E4895" s="29"/>
      <c r="H4895" s="27"/>
      <c r="K4895"/>
      <c r="P4895" s="27"/>
      <c r="Q4895" s="27"/>
      <c r="R4895" s="27"/>
    </row>
    <row r="4896" spans="1:18">
      <c r="A4896" s="28"/>
      <c r="B4896" s="29"/>
      <c r="C4896" s="29"/>
      <c r="D4896" s="29"/>
      <c r="E4896" s="29"/>
      <c r="H4896" s="27"/>
      <c r="K4896"/>
      <c r="P4896" s="27"/>
      <c r="Q4896" s="27"/>
      <c r="R4896" s="27"/>
    </row>
    <row r="4897" spans="1:18">
      <c r="A4897" s="28"/>
      <c r="B4897" s="29"/>
      <c r="C4897" s="29"/>
      <c r="D4897" s="29"/>
      <c r="E4897" s="29"/>
      <c r="H4897" s="27"/>
      <c r="K4897"/>
      <c r="P4897" s="27"/>
      <c r="Q4897" s="27"/>
      <c r="R4897" s="27"/>
    </row>
    <row r="4898" spans="1:18">
      <c r="A4898" s="28"/>
      <c r="B4898" s="29"/>
      <c r="C4898" s="29"/>
      <c r="D4898" s="29"/>
      <c r="E4898" s="29"/>
      <c r="H4898" s="27"/>
      <c r="K4898"/>
      <c r="P4898" s="27"/>
      <c r="Q4898" s="27"/>
      <c r="R4898" s="27"/>
    </row>
    <row r="4899" spans="1:18">
      <c r="A4899" s="28"/>
      <c r="B4899" s="29"/>
      <c r="C4899" s="29"/>
      <c r="D4899" s="29"/>
      <c r="E4899" s="29"/>
      <c r="H4899" s="27"/>
      <c r="K4899"/>
      <c r="P4899" s="27"/>
      <c r="Q4899" s="27"/>
      <c r="R4899" s="27"/>
    </row>
    <row r="4900" spans="1:18">
      <c r="A4900" s="28"/>
      <c r="B4900" s="29"/>
      <c r="C4900" s="29"/>
      <c r="D4900" s="29"/>
      <c r="E4900" s="29"/>
      <c r="H4900" s="27"/>
      <c r="K4900"/>
      <c r="P4900" s="27"/>
      <c r="Q4900" s="27"/>
      <c r="R4900" s="27"/>
    </row>
    <row r="4901" spans="1:18">
      <c r="A4901" s="28"/>
      <c r="B4901" s="29"/>
      <c r="C4901" s="29"/>
      <c r="D4901" s="29"/>
      <c r="E4901" s="29"/>
      <c r="H4901" s="27"/>
      <c r="K4901"/>
      <c r="P4901" s="27"/>
      <c r="Q4901" s="27"/>
      <c r="R4901" s="27"/>
    </row>
    <row r="4902" spans="1:18">
      <c r="A4902" s="28"/>
      <c r="B4902" s="29"/>
      <c r="C4902" s="29"/>
      <c r="D4902" s="29"/>
      <c r="E4902" s="29"/>
      <c r="H4902" s="27"/>
      <c r="K4902"/>
      <c r="P4902" s="27"/>
      <c r="Q4902" s="27"/>
      <c r="R4902" s="27"/>
    </row>
    <row r="4903" spans="1:18">
      <c r="A4903" s="28"/>
      <c r="B4903" s="29"/>
      <c r="C4903" s="29"/>
      <c r="D4903" s="29"/>
      <c r="E4903" s="29"/>
      <c r="H4903" s="27"/>
      <c r="K4903"/>
      <c r="P4903" s="27"/>
      <c r="Q4903" s="27"/>
      <c r="R4903" s="27"/>
    </row>
    <row r="4904" spans="1:18">
      <c r="A4904" s="28"/>
      <c r="B4904" s="29"/>
      <c r="C4904" s="29"/>
      <c r="D4904" s="29"/>
      <c r="E4904" s="29"/>
      <c r="H4904" s="27"/>
      <c r="K4904"/>
      <c r="P4904" s="27"/>
      <c r="Q4904" s="27"/>
      <c r="R4904" s="27"/>
    </row>
    <row r="4905" spans="1:18">
      <c r="A4905" s="28"/>
      <c r="B4905" s="29"/>
      <c r="C4905" s="29"/>
      <c r="D4905" s="29"/>
      <c r="E4905" s="29"/>
      <c r="H4905" s="27"/>
      <c r="K4905"/>
      <c r="P4905" s="27"/>
      <c r="Q4905" s="27"/>
      <c r="R4905" s="27"/>
    </row>
    <row r="4906" spans="1:18">
      <c r="A4906" s="28"/>
      <c r="B4906" s="29"/>
      <c r="C4906" s="29"/>
      <c r="D4906" s="29"/>
      <c r="E4906" s="29"/>
      <c r="H4906" s="27"/>
      <c r="K4906"/>
      <c r="P4906" s="27"/>
      <c r="Q4906" s="27"/>
      <c r="R4906" s="27"/>
    </row>
    <row r="4907" spans="1:18">
      <c r="A4907" s="28"/>
      <c r="B4907" s="29"/>
      <c r="C4907" s="29"/>
      <c r="D4907" s="29"/>
      <c r="E4907" s="29"/>
      <c r="H4907" s="27"/>
      <c r="K4907"/>
      <c r="P4907" s="27"/>
      <c r="Q4907" s="27"/>
      <c r="R4907" s="27"/>
    </row>
    <row r="4908" spans="1:18">
      <c r="A4908" s="28"/>
      <c r="B4908" s="29"/>
      <c r="C4908" s="29"/>
      <c r="D4908" s="29"/>
      <c r="E4908" s="29"/>
      <c r="H4908" s="27"/>
      <c r="K4908"/>
      <c r="P4908" s="27"/>
      <c r="Q4908" s="27"/>
      <c r="R4908" s="27"/>
    </row>
    <row r="4909" spans="1:18">
      <c r="A4909" s="28"/>
      <c r="B4909" s="29"/>
      <c r="C4909" s="29"/>
      <c r="D4909" s="29"/>
      <c r="E4909" s="29"/>
      <c r="H4909" s="27"/>
      <c r="K4909"/>
      <c r="P4909" s="27"/>
      <c r="Q4909" s="27"/>
      <c r="R4909" s="27"/>
    </row>
    <row r="4910" spans="1:18">
      <c r="A4910" s="28"/>
      <c r="B4910" s="29"/>
      <c r="C4910" s="29"/>
      <c r="D4910" s="29"/>
      <c r="E4910" s="29"/>
      <c r="H4910" s="27"/>
      <c r="K4910"/>
      <c r="P4910" s="27"/>
      <c r="Q4910" s="27"/>
      <c r="R4910" s="27"/>
    </row>
    <row r="4911" spans="1:18">
      <c r="A4911" s="28"/>
      <c r="B4911" s="29"/>
      <c r="C4911" s="29"/>
      <c r="D4911" s="29"/>
      <c r="E4911" s="29"/>
      <c r="H4911" s="27"/>
      <c r="K4911"/>
      <c r="P4911" s="27"/>
      <c r="Q4911" s="27"/>
      <c r="R4911" s="27"/>
    </row>
    <row r="4912" spans="1:18">
      <c r="A4912" s="28"/>
      <c r="B4912" s="29"/>
      <c r="C4912" s="29"/>
      <c r="D4912" s="29"/>
      <c r="E4912" s="29"/>
      <c r="H4912" s="27"/>
      <c r="K4912"/>
      <c r="P4912" s="27"/>
      <c r="Q4912" s="27"/>
      <c r="R4912" s="27"/>
    </row>
    <row r="4913" spans="1:18">
      <c r="A4913" s="28"/>
      <c r="B4913" s="29"/>
      <c r="C4913" s="29"/>
      <c r="D4913" s="29"/>
      <c r="E4913" s="29"/>
      <c r="H4913" s="27"/>
      <c r="K4913"/>
      <c r="P4913" s="27"/>
      <c r="Q4913" s="27"/>
      <c r="R4913" s="27"/>
    </row>
    <row r="4914" spans="1:18">
      <c r="A4914" s="28"/>
      <c r="B4914" s="29"/>
      <c r="C4914" s="29"/>
      <c r="D4914" s="29"/>
      <c r="E4914" s="29"/>
      <c r="H4914" s="27"/>
      <c r="K4914"/>
      <c r="P4914" s="27"/>
      <c r="Q4914" s="27"/>
      <c r="R4914" s="27"/>
    </row>
    <row r="4915" spans="1:18">
      <c r="A4915" s="28"/>
      <c r="B4915" s="29"/>
      <c r="C4915" s="29"/>
      <c r="D4915" s="29"/>
      <c r="E4915" s="29"/>
      <c r="H4915" s="27"/>
      <c r="K4915"/>
      <c r="P4915" s="27"/>
      <c r="Q4915" s="27"/>
      <c r="R4915" s="27"/>
    </row>
    <row r="4916" spans="1:18">
      <c r="A4916" s="28"/>
      <c r="B4916" s="29"/>
      <c r="C4916" s="29"/>
      <c r="D4916" s="29"/>
      <c r="E4916" s="29"/>
      <c r="H4916" s="27"/>
      <c r="K4916"/>
      <c r="P4916" s="27"/>
      <c r="Q4916" s="27"/>
      <c r="R4916" s="27"/>
    </row>
    <row r="4917" spans="1:18">
      <c r="A4917" s="28"/>
      <c r="B4917" s="29"/>
      <c r="C4917" s="29"/>
      <c r="D4917" s="29"/>
      <c r="E4917" s="29"/>
      <c r="H4917" s="27"/>
      <c r="K4917"/>
      <c r="P4917" s="27"/>
      <c r="Q4917" s="27"/>
      <c r="R4917" s="27"/>
    </row>
    <row r="4918" spans="1:18">
      <c r="A4918" s="28"/>
      <c r="B4918" s="29"/>
      <c r="C4918" s="29"/>
      <c r="D4918" s="29"/>
      <c r="E4918" s="29"/>
      <c r="H4918" s="27"/>
      <c r="K4918"/>
      <c r="P4918" s="27"/>
      <c r="Q4918" s="27"/>
      <c r="R4918" s="27"/>
    </row>
    <row r="4919" spans="1:18">
      <c r="A4919" s="28"/>
      <c r="B4919" s="29"/>
      <c r="C4919" s="29"/>
      <c r="D4919" s="29"/>
      <c r="E4919" s="29"/>
      <c r="H4919" s="27"/>
      <c r="K4919"/>
      <c r="P4919" s="27"/>
      <c r="Q4919" s="27"/>
      <c r="R4919" s="27"/>
    </row>
    <row r="4920" spans="1:18">
      <c r="A4920" s="28"/>
      <c r="B4920" s="29"/>
      <c r="C4920" s="29"/>
      <c r="D4920" s="29"/>
      <c r="E4920" s="29"/>
      <c r="H4920" s="27"/>
      <c r="K4920"/>
      <c r="P4920" s="27"/>
      <c r="Q4920" s="27"/>
      <c r="R4920" s="27"/>
    </row>
    <row r="4921" spans="1:18">
      <c r="A4921" s="28"/>
      <c r="B4921" s="29"/>
      <c r="C4921" s="29"/>
      <c r="D4921" s="29"/>
      <c r="E4921" s="29"/>
      <c r="H4921" s="27"/>
      <c r="K4921"/>
      <c r="P4921" s="27"/>
      <c r="Q4921" s="27"/>
      <c r="R4921" s="27"/>
    </row>
    <row r="4922" spans="1:18">
      <c r="A4922" s="28"/>
      <c r="B4922" s="29"/>
      <c r="C4922" s="29"/>
      <c r="D4922" s="29"/>
      <c r="E4922" s="29"/>
      <c r="H4922" s="27"/>
      <c r="K4922"/>
      <c r="P4922" s="27"/>
      <c r="Q4922" s="27"/>
      <c r="R4922" s="27"/>
    </row>
    <row r="4923" spans="1:18">
      <c r="A4923" s="28"/>
      <c r="B4923" s="29"/>
      <c r="C4923" s="29"/>
      <c r="D4923" s="29"/>
      <c r="E4923" s="29"/>
      <c r="H4923" s="27"/>
      <c r="K4923"/>
      <c r="P4923" s="27"/>
      <c r="Q4923" s="27"/>
      <c r="R4923" s="27"/>
    </row>
    <row r="4924" spans="1:18">
      <c r="A4924" s="28"/>
      <c r="B4924" s="29"/>
      <c r="C4924" s="29"/>
      <c r="D4924" s="29"/>
      <c r="E4924" s="29"/>
      <c r="H4924" s="27"/>
      <c r="K4924"/>
      <c r="P4924" s="27"/>
      <c r="Q4924" s="27"/>
      <c r="R4924" s="27"/>
    </row>
    <row r="4925" spans="1:18">
      <c r="A4925" s="28"/>
      <c r="B4925" s="29"/>
      <c r="C4925" s="29"/>
      <c r="D4925" s="29"/>
      <c r="E4925" s="29"/>
      <c r="H4925" s="27"/>
      <c r="K4925"/>
      <c r="P4925" s="27"/>
      <c r="Q4925" s="27"/>
      <c r="R4925" s="27"/>
    </row>
    <row r="4926" spans="1:18">
      <c r="A4926" s="28"/>
      <c r="B4926" s="29"/>
      <c r="C4926" s="29"/>
      <c r="D4926" s="29"/>
      <c r="E4926" s="29"/>
      <c r="H4926" s="27"/>
      <c r="K4926"/>
      <c r="P4926" s="27"/>
      <c r="Q4926" s="27"/>
      <c r="R4926" s="27"/>
    </row>
    <row r="4927" spans="1:18">
      <c r="A4927" s="28"/>
      <c r="B4927" s="29"/>
      <c r="C4927" s="29"/>
      <c r="D4927" s="29"/>
      <c r="E4927" s="29"/>
      <c r="H4927" s="27"/>
      <c r="K4927"/>
      <c r="P4927" s="27"/>
      <c r="Q4927" s="27"/>
      <c r="R4927" s="27"/>
    </row>
    <row r="4928" spans="1:18">
      <c r="A4928" s="28"/>
      <c r="B4928" s="29"/>
      <c r="C4928" s="29"/>
      <c r="D4928" s="29"/>
      <c r="E4928" s="29"/>
      <c r="H4928" s="27"/>
      <c r="K4928"/>
      <c r="P4928" s="27"/>
      <c r="Q4928" s="27"/>
      <c r="R4928" s="27"/>
    </row>
    <row r="4929" spans="1:18">
      <c r="A4929" s="28"/>
      <c r="B4929" s="29"/>
      <c r="C4929" s="29"/>
      <c r="D4929" s="29"/>
      <c r="E4929" s="29"/>
      <c r="H4929" s="27"/>
      <c r="K4929"/>
      <c r="P4929" s="27"/>
      <c r="Q4929" s="27"/>
      <c r="R4929" s="27"/>
    </row>
    <row r="4930" spans="1:18">
      <c r="A4930" s="28"/>
      <c r="B4930" s="29"/>
      <c r="C4930" s="29"/>
      <c r="D4930" s="29"/>
      <c r="E4930" s="29"/>
      <c r="H4930" s="27"/>
      <c r="K4930"/>
      <c r="P4930" s="27"/>
      <c r="Q4930" s="27"/>
      <c r="R4930" s="27"/>
    </row>
    <row r="4931" spans="1:18">
      <c r="A4931" s="28"/>
      <c r="B4931" s="29"/>
      <c r="C4931" s="29"/>
      <c r="D4931" s="29"/>
      <c r="E4931" s="29"/>
      <c r="H4931" s="27"/>
      <c r="K4931"/>
      <c r="P4931" s="27"/>
      <c r="Q4931" s="27"/>
      <c r="R4931" s="27"/>
    </row>
    <row r="4932" spans="1:18">
      <c r="A4932" s="28"/>
      <c r="B4932" s="29"/>
      <c r="C4932" s="29"/>
      <c r="D4932" s="29"/>
      <c r="E4932" s="29"/>
      <c r="H4932" s="27"/>
      <c r="K4932"/>
      <c r="P4932" s="27"/>
      <c r="Q4932" s="27"/>
      <c r="R4932" s="27"/>
    </row>
    <row r="4933" spans="1:18">
      <c r="A4933" s="28"/>
      <c r="B4933" s="29"/>
      <c r="C4933" s="29"/>
      <c r="D4933" s="29"/>
      <c r="E4933" s="29"/>
      <c r="H4933" s="27"/>
      <c r="K4933"/>
      <c r="P4933" s="27"/>
      <c r="Q4933" s="27"/>
      <c r="R4933" s="27"/>
    </row>
    <row r="4934" spans="1:18">
      <c r="A4934" s="28"/>
      <c r="B4934" s="29"/>
      <c r="C4934" s="29"/>
      <c r="D4934" s="29"/>
      <c r="E4934" s="29"/>
      <c r="H4934" s="27"/>
      <c r="K4934"/>
      <c r="P4934" s="27"/>
      <c r="Q4934" s="27"/>
      <c r="R4934" s="27"/>
    </row>
    <row r="4935" spans="1:18">
      <c r="A4935" s="28"/>
      <c r="B4935" s="29"/>
      <c r="C4935" s="29"/>
      <c r="D4935" s="29"/>
      <c r="E4935" s="29"/>
      <c r="H4935" s="27"/>
      <c r="K4935"/>
      <c r="P4935" s="27"/>
      <c r="Q4935" s="27"/>
      <c r="R4935" s="27"/>
    </row>
    <row r="4936" spans="1:18">
      <c r="A4936" s="28"/>
      <c r="B4936" s="29"/>
      <c r="C4936" s="29"/>
      <c r="D4936" s="29"/>
      <c r="E4936" s="29"/>
      <c r="H4936" s="27"/>
      <c r="K4936"/>
      <c r="P4936" s="27"/>
      <c r="Q4936" s="27"/>
      <c r="R4936" s="27"/>
    </row>
    <row r="4937" spans="1:18">
      <c r="A4937" s="28"/>
      <c r="B4937" s="29"/>
      <c r="C4937" s="29"/>
      <c r="D4937" s="29"/>
      <c r="E4937" s="29"/>
      <c r="H4937" s="27"/>
      <c r="K4937"/>
      <c r="P4937" s="27"/>
      <c r="Q4937" s="27"/>
      <c r="R4937" s="27"/>
    </row>
    <row r="4938" spans="1:18">
      <c r="A4938" s="28"/>
      <c r="B4938" s="29"/>
      <c r="C4938" s="29"/>
      <c r="D4938" s="29"/>
      <c r="E4938" s="29"/>
      <c r="H4938" s="27"/>
      <c r="K4938"/>
      <c r="P4938" s="27"/>
      <c r="Q4938" s="27"/>
      <c r="R4938" s="27"/>
    </row>
    <row r="4939" spans="1:18">
      <c r="A4939" s="28"/>
      <c r="B4939" s="29"/>
      <c r="C4939" s="29"/>
      <c r="D4939" s="29"/>
      <c r="E4939" s="29"/>
      <c r="H4939" s="27"/>
      <c r="K4939"/>
      <c r="P4939" s="27"/>
      <c r="Q4939" s="27"/>
      <c r="R4939" s="27"/>
    </row>
    <row r="4940" spans="1:18">
      <c r="A4940" s="28"/>
      <c r="B4940" s="29"/>
      <c r="C4940" s="29"/>
      <c r="D4940" s="29"/>
      <c r="E4940" s="29"/>
      <c r="H4940" s="27"/>
      <c r="K4940"/>
      <c r="P4940" s="27"/>
      <c r="Q4940" s="27"/>
      <c r="R4940" s="27"/>
    </row>
    <row r="4941" spans="1:18">
      <c r="A4941" s="28"/>
      <c r="B4941" s="29"/>
      <c r="C4941" s="29"/>
      <c r="D4941" s="29"/>
      <c r="E4941" s="29"/>
      <c r="H4941" s="27"/>
      <c r="K4941"/>
      <c r="P4941" s="27"/>
      <c r="Q4941" s="27"/>
      <c r="R4941" s="27"/>
    </row>
    <row r="4942" spans="1:18">
      <c r="A4942" s="28"/>
      <c r="B4942" s="29"/>
      <c r="C4942" s="29"/>
      <c r="D4942" s="29"/>
      <c r="E4942" s="29"/>
      <c r="H4942" s="27"/>
      <c r="K4942"/>
      <c r="P4942" s="27"/>
      <c r="Q4942" s="27"/>
      <c r="R4942" s="27"/>
    </row>
    <row r="4943" spans="1:18">
      <c r="A4943" s="28"/>
      <c r="B4943" s="29"/>
      <c r="C4943" s="29"/>
      <c r="D4943" s="29"/>
      <c r="E4943" s="29"/>
      <c r="H4943" s="27"/>
      <c r="K4943"/>
      <c r="P4943" s="27"/>
      <c r="Q4943" s="27"/>
      <c r="R4943" s="27"/>
    </row>
    <row r="4944" spans="1:18">
      <c r="A4944" s="28"/>
      <c r="B4944" s="29"/>
      <c r="C4944" s="29"/>
      <c r="D4944" s="29"/>
      <c r="E4944" s="29"/>
      <c r="H4944" s="27"/>
      <c r="K4944"/>
      <c r="P4944" s="27"/>
      <c r="Q4944" s="27"/>
      <c r="R4944" s="27"/>
    </row>
    <row r="4945" spans="1:18">
      <c r="A4945" s="28"/>
      <c r="B4945" s="29"/>
      <c r="C4945" s="29"/>
      <c r="D4945" s="29"/>
      <c r="E4945" s="29"/>
      <c r="H4945" s="27"/>
      <c r="K4945"/>
      <c r="P4945" s="27"/>
      <c r="Q4945" s="27"/>
      <c r="R4945" s="27"/>
    </row>
    <row r="4946" spans="1:18">
      <c r="A4946" s="28"/>
      <c r="B4946" s="29"/>
      <c r="C4946" s="29"/>
      <c r="D4946" s="29"/>
      <c r="E4946" s="29"/>
      <c r="H4946" s="27"/>
      <c r="K4946"/>
      <c r="P4946" s="27"/>
      <c r="Q4946" s="27"/>
      <c r="R4946" s="27"/>
    </row>
    <row r="4947" spans="1:18">
      <c r="A4947" s="28"/>
      <c r="B4947" s="29"/>
      <c r="C4947" s="29"/>
      <c r="D4947" s="29"/>
      <c r="E4947" s="29"/>
      <c r="H4947" s="27"/>
      <c r="K4947"/>
      <c r="P4947" s="27"/>
      <c r="Q4947" s="27"/>
      <c r="R4947" s="27"/>
    </row>
    <row r="4948" spans="1:18">
      <c r="A4948" s="28"/>
      <c r="B4948" s="29"/>
      <c r="C4948" s="29"/>
      <c r="D4948" s="29"/>
      <c r="E4948" s="29"/>
      <c r="H4948" s="27"/>
      <c r="K4948"/>
      <c r="P4948" s="27"/>
      <c r="Q4948" s="27"/>
      <c r="R4948" s="27"/>
    </row>
    <row r="4949" spans="1:18">
      <c r="A4949" s="28"/>
      <c r="B4949" s="29"/>
      <c r="C4949" s="29"/>
      <c r="D4949" s="29"/>
      <c r="E4949" s="29"/>
      <c r="H4949" s="27"/>
      <c r="K4949"/>
      <c r="P4949" s="27"/>
      <c r="Q4949" s="27"/>
      <c r="R4949" s="27"/>
    </row>
    <row r="4950" spans="1:18">
      <c r="A4950" s="28"/>
      <c r="B4950" s="29"/>
      <c r="C4950" s="29"/>
      <c r="D4950" s="29"/>
      <c r="E4950" s="29"/>
      <c r="H4950" s="27"/>
      <c r="K4950"/>
      <c r="P4950" s="27"/>
      <c r="Q4950" s="27"/>
      <c r="R4950" s="27"/>
    </row>
    <row r="4951" spans="1:18">
      <c r="A4951" s="28"/>
      <c r="B4951" s="29"/>
      <c r="C4951" s="29"/>
      <c r="D4951" s="29"/>
      <c r="E4951" s="29"/>
      <c r="H4951" s="27"/>
      <c r="K4951"/>
      <c r="P4951" s="27"/>
      <c r="Q4951" s="27"/>
      <c r="R4951" s="27"/>
    </row>
    <row r="4952" spans="1:18">
      <c r="A4952" s="28"/>
      <c r="B4952" s="29"/>
      <c r="C4952" s="29"/>
      <c r="D4952" s="29"/>
      <c r="E4952" s="29"/>
      <c r="H4952" s="27"/>
      <c r="K4952"/>
      <c r="P4952" s="27"/>
      <c r="Q4952" s="27"/>
      <c r="R4952" s="27"/>
    </row>
    <row r="4953" spans="1:18">
      <c r="A4953" s="28"/>
      <c r="B4953" s="29"/>
      <c r="C4953" s="29"/>
      <c r="D4953" s="29"/>
      <c r="E4953" s="29"/>
      <c r="H4953" s="27"/>
      <c r="K4953"/>
      <c r="P4953" s="27"/>
      <c r="Q4953" s="27"/>
      <c r="R4953" s="27"/>
    </row>
    <row r="4954" spans="1:18">
      <c r="A4954" s="28"/>
      <c r="B4954" s="29"/>
      <c r="C4954" s="29"/>
      <c r="D4954" s="29"/>
      <c r="E4954" s="29"/>
      <c r="H4954" s="27"/>
      <c r="K4954"/>
      <c r="P4954" s="27"/>
      <c r="Q4954" s="27"/>
      <c r="R4954" s="27"/>
    </row>
    <row r="4955" spans="1:18">
      <c r="A4955" s="28"/>
      <c r="B4955" s="29"/>
      <c r="C4955" s="29"/>
      <c r="D4955" s="29"/>
      <c r="E4955" s="29"/>
      <c r="H4955" s="27"/>
      <c r="K4955"/>
      <c r="P4955" s="27"/>
      <c r="Q4955" s="27"/>
      <c r="R4955" s="27"/>
    </row>
    <row r="4956" spans="1:18">
      <c r="A4956" s="28"/>
      <c r="B4956" s="29"/>
      <c r="C4956" s="29"/>
      <c r="D4956" s="29"/>
      <c r="E4956" s="29"/>
      <c r="H4956" s="27"/>
      <c r="K4956"/>
      <c r="P4956" s="27"/>
      <c r="Q4956" s="27"/>
      <c r="R4956" s="27"/>
    </row>
    <row r="4957" spans="1:18">
      <c r="A4957" s="28"/>
      <c r="B4957" s="29"/>
      <c r="C4957" s="29"/>
      <c r="D4957" s="29"/>
      <c r="E4957" s="29"/>
      <c r="H4957" s="27"/>
      <c r="K4957"/>
      <c r="P4957" s="27"/>
      <c r="Q4957" s="27"/>
      <c r="R4957" s="27"/>
    </row>
    <row r="4958" spans="1:18">
      <c r="A4958" s="28"/>
      <c r="B4958" s="29"/>
      <c r="C4958" s="29"/>
      <c r="D4958" s="29"/>
      <c r="E4958" s="29"/>
      <c r="H4958" s="27"/>
      <c r="K4958"/>
      <c r="P4958" s="27"/>
      <c r="Q4958" s="27"/>
      <c r="R4958" s="27"/>
    </row>
    <row r="4959" spans="1:18">
      <c r="A4959" s="28"/>
      <c r="B4959" s="29"/>
      <c r="C4959" s="29"/>
      <c r="D4959" s="29"/>
      <c r="E4959" s="29"/>
      <c r="H4959" s="27"/>
      <c r="K4959"/>
      <c r="P4959" s="27"/>
      <c r="Q4959" s="27"/>
      <c r="R4959" s="27"/>
    </row>
    <row r="4960" spans="1:18">
      <c r="A4960" s="28"/>
      <c r="B4960" s="29"/>
      <c r="C4960" s="29"/>
      <c r="D4960" s="29"/>
      <c r="E4960" s="29"/>
      <c r="H4960" s="27"/>
      <c r="K4960"/>
      <c r="P4960" s="27"/>
      <c r="Q4960" s="27"/>
      <c r="R4960" s="27"/>
    </row>
    <row r="4961" spans="1:18">
      <c r="A4961" s="28"/>
      <c r="B4961" s="29"/>
      <c r="C4961" s="29"/>
      <c r="D4961" s="29"/>
      <c r="E4961" s="29"/>
      <c r="H4961" s="27"/>
      <c r="K4961"/>
      <c r="P4961" s="27"/>
      <c r="Q4961" s="27"/>
      <c r="R4961" s="27"/>
    </row>
    <row r="4962" spans="1:18">
      <c r="A4962" s="28"/>
      <c r="B4962" s="29"/>
      <c r="C4962" s="29"/>
      <c r="D4962" s="29"/>
      <c r="E4962" s="29"/>
      <c r="H4962" s="27"/>
      <c r="K4962"/>
      <c r="P4962" s="27"/>
      <c r="Q4962" s="27"/>
      <c r="R4962" s="27"/>
    </row>
    <row r="4963" spans="1:18">
      <c r="A4963" s="28"/>
      <c r="B4963" s="29"/>
      <c r="C4963" s="29"/>
      <c r="D4963" s="29"/>
      <c r="E4963" s="29"/>
      <c r="H4963" s="27"/>
      <c r="K4963"/>
      <c r="P4963" s="27"/>
      <c r="Q4963" s="27"/>
      <c r="R4963" s="27"/>
    </row>
    <row r="4964" spans="1:18">
      <c r="A4964" s="28"/>
      <c r="B4964" s="29"/>
      <c r="C4964" s="29"/>
      <c r="D4964" s="29"/>
      <c r="E4964" s="29"/>
      <c r="H4964" s="27"/>
      <c r="K4964"/>
      <c r="P4964" s="27"/>
      <c r="Q4964" s="27"/>
      <c r="R4964" s="27"/>
    </row>
    <row r="4965" spans="1:18">
      <c r="A4965" s="28"/>
      <c r="B4965" s="29"/>
      <c r="C4965" s="29"/>
      <c r="D4965" s="29"/>
      <c r="E4965" s="29"/>
      <c r="H4965" s="27"/>
      <c r="K4965"/>
      <c r="P4965" s="27"/>
      <c r="Q4965" s="27"/>
      <c r="R4965" s="27"/>
    </row>
    <row r="4966" spans="1:18">
      <c r="A4966" s="28"/>
      <c r="B4966" s="29"/>
      <c r="C4966" s="29"/>
      <c r="D4966" s="29"/>
      <c r="E4966" s="29"/>
      <c r="H4966" s="27"/>
      <c r="K4966"/>
      <c r="P4966" s="27"/>
      <c r="Q4966" s="27"/>
      <c r="R4966" s="27"/>
    </row>
    <row r="4967" spans="1:18">
      <c r="A4967" s="28"/>
      <c r="B4967" s="29"/>
      <c r="C4967" s="29"/>
      <c r="D4967" s="29"/>
      <c r="E4967" s="29"/>
      <c r="H4967" s="27"/>
      <c r="K4967"/>
      <c r="P4967" s="27"/>
      <c r="Q4967" s="27"/>
      <c r="R4967" s="27"/>
    </row>
    <row r="4968" spans="1:18">
      <c r="A4968" s="28"/>
      <c r="B4968" s="29"/>
      <c r="C4968" s="29"/>
      <c r="D4968" s="29"/>
      <c r="E4968" s="29"/>
      <c r="H4968" s="27"/>
      <c r="K4968"/>
      <c r="P4968" s="27"/>
      <c r="Q4968" s="27"/>
      <c r="R4968" s="27"/>
    </row>
    <row r="4969" spans="1:18">
      <c r="A4969" s="28"/>
      <c r="B4969" s="29"/>
      <c r="C4969" s="29"/>
      <c r="D4969" s="29"/>
      <c r="E4969" s="29"/>
      <c r="H4969" s="27"/>
      <c r="K4969"/>
      <c r="P4969" s="27"/>
      <c r="Q4969" s="27"/>
      <c r="R4969" s="27"/>
    </row>
    <row r="4970" spans="1:18">
      <c r="A4970" s="28"/>
      <c r="B4970" s="29"/>
      <c r="C4970" s="29"/>
      <c r="D4970" s="29"/>
      <c r="E4970" s="29"/>
      <c r="H4970" s="27"/>
      <c r="K4970"/>
      <c r="P4970" s="27"/>
      <c r="Q4970" s="27"/>
      <c r="R4970" s="27"/>
    </row>
    <row r="4971" spans="1:18">
      <c r="A4971" s="28"/>
      <c r="B4971" s="29"/>
      <c r="C4971" s="29"/>
      <c r="D4971" s="29"/>
      <c r="E4971" s="29"/>
      <c r="H4971" s="27"/>
      <c r="K4971"/>
      <c r="P4971" s="27"/>
      <c r="Q4971" s="27"/>
      <c r="R4971" s="27"/>
    </row>
    <row r="4972" spans="1:18">
      <c r="A4972" s="28"/>
      <c r="B4972" s="29"/>
      <c r="C4972" s="29"/>
      <c r="D4972" s="29"/>
      <c r="E4972" s="29"/>
      <c r="H4972" s="27"/>
      <c r="K4972"/>
      <c r="P4972" s="27"/>
      <c r="Q4972" s="27"/>
      <c r="R4972" s="27"/>
    </row>
    <row r="4973" spans="1:18">
      <c r="A4973" s="28"/>
      <c r="B4973" s="29"/>
      <c r="C4973" s="29"/>
      <c r="D4973" s="29"/>
      <c r="E4973" s="29"/>
      <c r="H4973" s="27"/>
      <c r="K4973"/>
      <c r="P4973" s="27"/>
      <c r="Q4973" s="27"/>
      <c r="R4973" s="27"/>
    </row>
    <row r="4974" spans="1:18">
      <c r="A4974" s="28"/>
      <c r="B4974" s="29"/>
      <c r="C4974" s="29"/>
      <c r="D4974" s="29"/>
      <c r="E4974" s="29"/>
      <c r="H4974" s="27"/>
      <c r="K4974"/>
      <c r="P4974" s="27"/>
      <c r="Q4974" s="27"/>
      <c r="R4974" s="27"/>
    </row>
    <row r="4975" spans="1:18">
      <c r="A4975" s="28"/>
      <c r="B4975" s="29"/>
      <c r="C4975" s="29"/>
      <c r="D4975" s="29"/>
      <c r="E4975" s="29"/>
      <c r="H4975" s="27"/>
      <c r="K4975"/>
      <c r="P4975" s="27"/>
      <c r="Q4975" s="27"/>
      <c r="R4975" s="27"/>
    </row>
    <row r="4976" spans="1:18">
      <c r="A4976" s="28"/>
      <c r="B4976" s="29"/>
      <c r="C4976" s="29"/>
      <c r="D4976" s="29"/>
      <c r="E4976" s="29"/>
      <c r="H4976" s="27"/>
      <c r="K4976"/>
      <c r="P4976" s="27"/>
      <c r="Q4976" s="27"/>
      <c r="R4976" s="27"/>
    </row>
    <row r="4977" spans="1:18">
      <c r="A4977" s="28"/>
      <c r="B4977" s="29"/>
      <c r="C4977" s="29"/>
      <c r="D4977" s="29"/>
      <c r="E4977" s="29"/>
      <c r="H4977" s="27"/>
      <c r="K4977"/>
      <c r="P4977" s="27"/>
      <c r="Q4977" s="27"/>
      <c r="R4977" s="27"/>
    </row>
    <row r="4978" spans="1:18">
      <c r="A4978" s="28"/>
      <c r="B4978" s="29"/>
      <c r="C4978" s="29"/>
      <c r="D4978" s="29"/>
      <c r="E4978" s="29"/>
      <c r="H4978" s="27"/>
      <c r="K4978"/>
      <c r="P4978" s="27"/>
      <c r="Q4978" s="27"/>
      <c r="R4978" s="27"/>
    </row>
    <row r="4979" spans="1:18">
      <c r="A4979" s="28"/>
      <c r="B4979" s="29"/>
      <c r="C4979" s="29"/>
      <c r="D4979" s="29"/>
      <c r="E4979" s="29"/>
      <c r="H4979" s="27"/>
      <c r="K4979"/>
      <c r="P4979" s="27"/>
      <c r="Q4979" s="27"/>
      <c r="R4979" s="27"/>
    </row>
    <row r="4980" spans="1:18">
      <c r="A4980" s="28"/>
      <c r="B4980" s="29"/>
      <c r="C4980" s="29"/>
      <c r="D4980" s="29"/>
      <c r="E4980" s="29"/>
      <c r="H4980" s="27"/>
      <c r="K4980"/>
      <c r="P4980" s="27"/>
      <c r="Q4980" s="27"/>
      <c r="R4980" s="27"/>
    </row>
    <row r="4981" spans="1:18">
      <c r="A4981" s="28"/>
      <c r="B4981" s="29"/>
      <c r="C4981" s="29"/>
      <c r="D4981" s="29"/>
      <c r="E4981" s="29"/>
      <c r="H4981" s="27"/>
      <c r="K4981"/>
      <c r="P4981" s="27"/>
      <c r="Q4981" s="27"/>
      <c r="R4981" s="27"/>
    </row>
    <row r="4982" spans="1:18">
      <c r="A4982" s="28"/>
      <c r="B4982" s="29"/>
      <c r="C4982" s="29"/>
      <c r="D4982" s="29"/>
      <c r="E4982" s="29"/>
      <c r="H4982" s="27"/>
      <c r="K4982"/>
      <c r="P4982" s="27"/>
      <c r="Q4982" s="27"/>
      <c r="R4982" s="27"/>
    </row>
    <row r="4983" spans="1:18">
      <c r="A4983" s="28"/>
      <c r="B4983" s="29"/>
      <c r="C4983" s="29"/>
      <c r="D4983" s="29"/>
      <c r="E4983" s="29"/>
      <c r="H4983" s="27"/>
      <c r="K4983"/>
      <c r="P4983" s="27"/>
      <c r="Q4983" s="27"/>
      <c r="R4983" s="27"/>
    </row>
    <row r="4984" spans="1:18">
      <c r="A4984" s="28"/>
      <c r="B4984" s="29"/>
      <c r="C4984" s="29"/>
      <c r="D4984" s="29"/>
      <c r="E4984" s="29"/>
      <c r="H4984" s="27"/>
      <c r="K4984"/>
      <c r="P4984" s="27"/>
      <c r="Q4984" s="27"/>
      <c r="R4984" s="27"/>
    </row>
    <row r="4985" spans="1:18">
      <c r="A4985" s="28"/>
      <c r="B4985" s="29"/>
      <c r="C4985" s="29"/>
      <c r="D4985" s="29"/>
      <c r="E4985" s="29"/>
      <c r="H4985" s="27"/>
      <c r="K4985"/>
      <c r="P4985" s="27"/>
      <c r="Q4985" s="27"/>
      <c r="R4985" s="27"/>
    </row>
    <row r="4986" spans="1:18">
      <c r="A4986" s="28"/>
      <c r="B4986" s="29"/>
      <c r="C4986" s="29"/>
      <c r="D4986" s="29"/>
      <c r="E4986" s="29"/>
      <c r="H4986" s="27"/>
      <c r="K4986"/>
      <c r="P4986" s="27"/>
      <c r="Q4986" s="27"/>
      <c r="R4986" s="27"/>
    </row>
    <row r="4987" spans="1:18">
      <c r="A4987" s="28"/>
      <c r="B4987" s="29"/>
      <c r="C4987" s="29"/>
      <c r="D4987" s="29"/>
      <c r="E4987" s="29"/>
      <c r="H4987" s="27"/>
      <c r="K4987"/>
      <c r="P4987" s="27"/>
      <c r="Q4987" s="27"/>
      <c r="R4987" s="27"/>
    </row>
    <row r="4988" spans="1:18">
      <c r="A4988" s="28"/>
      <c r="B4988" s="29"/>
      <c r="C4988" s="29"/>
      <c r="D4988" s="29"/>
      <c r="E4988" s="29"/>
      <c r="H4988" s="27"/>
      <c r="K4988"/>
      <c r="P4988" s="27"/>
      <c r="Q4988" s="27"/>
      <c r="R4988" s="27"/>
    </row>
    <row r="4989" spans="1:18">
      <c r="A4989" s="28"/>
      <c r="B4989" s="29"/>
      <c r="C4989" s="29"/>
      <c r="D4989" s="29"/>
      <c r="E4989" s="29"/>
      <c r="H4989" s="27"/>
      <c r="K4989"/>
      <c r="P4989" s="27"/>
      <c r="Q4989" s="27"/>
      <c r="R4989" s="27"/>
    </row>
    <row r="4990" spans="1:18">
      <c r="A4990" s="28"/>
      <c r="B4990" s="29"/>
      <c r="C4990" s="29"/>
      <c r="D4990" s="29"/>
      <c r="E4990" s="29"/>
      <c r="H4990" s="27"/>
      <c r="K4990"/>
      <c r="P4990" s="27"/>
      <c r="Q4990" s="27"/>
      <c r="R4990" s="27"/>
    </row>
    <row r="4991" spans="1:18">
      <c r="A4991" s="28"/>
      <c r="B4991" s="29"/>
      <c r="C4991" s="29"/>
      <c r="D4991" s="29"/>
      <c r="E4991" s="29"/>
      <c r="H4991" s="27"/>
      <c r="K4991"/>
      <c r="P4991" s="27"/>
      <c r="Q4991" s="27"/>
      <c r="R4991" s="27"/>
    </row>
    <row r="4992" spans="1:18">
      <c r="A4992" s="28"/>
      <c r="B4992" s="29"/>
      <c r="C4992" s="29"/>
      <c r="D4992" s="29"/>
      <c r="E4992" s="29"/>
      <c r="H4992" s="27"/>
      <c r="K4992"/>
      <c r="P4992" s="27"/>
      <c r="Q4992" s="27"/>
      <c r="R4992" s="27"/>
    </row>
    <row r="4993" spans="1:18">
      <c r="A4993" s="28"/>
      <c r="B4993" s="29"/>
      <c r="C4993" s="29"/>
      <c r="D4993" s="29"/>
      <c r="E4993" s="29"/>
      <c r="H4993" s="27"/>
      <c r="K4993"/>
      <c r="P4993" s="27"/>
      <c r="Q4993" s="27"/>
      <c r="R4993" s="27"/>
    </row>
    <row r="4994" spans="1:18">
      <c r="A4994" s="28"/>
      <c r="B4994" s="29"/>
      <c r="C4994" s="29"/>
      <c r="D4994" s="29"/>
      <c r="E4994" s="29"/>
      <c r="H4994" s="27"/>
      <c r="K4994"/>
      <c r="P4994" s="27"/>
      <c r="Q4994" s="27"/>
      <c r="R4994" s="27"/>
    </row>
    <row r="4995" spans="1:18">
      <c r="A4995" s="28"/>
      <c r="B4995" s="29"/>
      <c r="C4995" s="29"/>
      <c r="D4995" s="29"/>
      <c r="E4995" s="29"/>
      <c r="H4995" s="27"/>
      <c r="K4995"/>
      <c r="P4995" s="27"/>
      <c r="Q4995" s="27"/>
      <c r="R4995" s="27"/>
    </row>
    <row r="4996" spans="1:18">
      <c r="A4996" s="28"/>
      <c r="B4996" s="29"/>
      <c r="C4996" s="29"/>
      <c r="D4996" s="29"/>
      <c r="E4996" s="29"/>
      <c r="H4996" s="27"/>
      <c r="K4996"/>
      <c r="P4996" s="27"/>
      <c r="Q4996" s="27"/>
      <c r="R4996" s="27"/>
    </row>
    <row r="4997" spans="1:18">
      <c r="A4997" s="28"/>
      <c r="B4997" s="29"/>
      <c r="C4997" s="29"/>
      <c r="D4997" s="29"/>
      <c r="E4997" s="29"/>
      <c r="H4997" s="27"/>
      <c r="K4997"/>
      <c r="P4997" s="27"/>
      <c r="Q4997" s="27"/>
      <c r="R4997" s="27"/>
    </row>
    <row r="4998" spans="1:18">
      <c r="A4998" s="28"/>
      <c r="B4998" s="29"/>
      <c r="C4998" s="29"/>
      <c r="D4998" s="29"/>
      <c r="E4998" s="29"/>
      <c r="H4998" s="27"/>
      <c r="K4998"/>
      <c r="P4998" s="27"/>
      <c r="Q4998" s="27"/>
      <c r="R4998" s="27"/>
    </row>
    <row r="4999" spans="1:18">
      <c r="A4999" s="28"/>
      <c r="B4999" s="29"/>
      <c r="C4999" s="29"/>
      <c r="D4999" s="29"/>
      <c r="E4999" s="29"/>
      <c r="H4999" s="27"/>
      <c r="K4999"/>
      <c r="P4999" s="27"/>
      <c r="Q4999" s="27"/>
      <c r="R4999" s="27"/>
    </row>
    <row r="5000" spans="1:18">
      <c r="A5000" s="28"/>
      <c r="B5000" s="29"/>
      <c r="C5000" s="29"/>
      <c r="D5000" s="29"/>
      <c r="E5000" s="29"/>
      <c r="H5000" s="27"/>
      <c r="K5000"/>
      <c r="P5000" s="27"/>
      <c r="Q5000" s="27"/>
      <c r="R5000" s="27"/>
    </row>
    <row r="5001" spans="1:18">
      <c r="A5001" s="28"/>
      <c r="B5001" s="29"/>
      <c r="C5001" s="29"/>
      <c r="D5001" s="29"/>
      <c r="E5001" s="29"/>
      <c r="H5001" s="27"/>
      <c r="K5001"/>
      <c r="P5001" s="27"/>
      <c r="Q5001" s="27"/>
      <c r="R5001" s="27"/>
    </row>
    <row r="5002" spans="1:18">
      <c r="A5002" s="28"/>
      <c r="B5002" s="29"/>
      <c r="C5002" s="29"/>
      <c r="D5002" s="29"/>
      <c r="E5002" s="29"/>
      <c r="H5002" s="27"/>
      <c r="K5002"/>
      <c r="P5002" s="27"/>
      <c r="Q5002" s="27"/>
      <c r="R5002" s="27"/>
    </row>
    <row r="5003" spans="1:18">
      <c r="A5003" s="28"/>
      <c r="B5003" s="29"/>
      <c r="C5003" s="29"/>
      <c r="D5003" s="29"/>
      <c r="E5003" s="29"/>
      <c r="H5003" s="27"/>
      <c r="K5003"/>
      <c r="P5003" s="27"/>
      <c r="Q5003" s="27"/>
      <c r="R5003" s="27"/>
    </row>
    <row r="5004" spans="1:18">
      <c r="A5004" s="28"/>
      <c r="B5004" s="29"/>
      <c r="C5004" s="29"/>
      <c r="D5004" s="29"/>
      <c r="E5004" s="29"/>
      <c r="H5004" s="27"/>
      <c r="K5004"/>
      <c r="P5004" s="27"/>
      <c r="Q5004" s="27"/>
      <c r="R5004" s="27"/>
    </row>
    <row r="5005" spans="1:18">
      <c r="A5005" s="28"/>
      <c r="B5005" s="29"/>
      <c r="C5005" s="29"/>
      <c r="D5005" s="29"/>
      <c r="E5005" s="29"/>
      <c r="H5005" s="27"/>
      <c r="K5005"/>
      <c r="P5005" s="27"/>
      <c r="Q5005" s="27"/>
      <c r="R5005" s="27"/>
    </row>
    <row r="5006" spans="1:18">
      <c r="A5006" s="28"/>
      <c r="B5006" s="29"/>
      <c r="C5006" s="29"/>
      <c r="D5006" s="29"/>
      <c r="E5006" s="29"/>
      <c r="H5006" s="27"/>
      <c r="K5006"/>
      <c r="P5006" s="27"/>
      <c r="Q5006" s="27"/>
      <c r="R5006" s="27"/>
    </row>
    <row r="5007" spans="1:18">
      <c r="A5007" s="28"/>
      <c r="B5007" s="29"/>
      <c r="C5007" s="29"/>
      <c r="D5007" s="29"/>
      <c r="E5007" s="29"/>
      <c r="H5007" s="27"/>
      <c r="K5007"/>
      <c r="P5007" s="27"/>
      <c r="Q5007" s="27"/>
      <c r="R5007" s="27"/>
    </row>
    <row r="5008" spans="1:18">
      <c r="A5008" s="28"/>
      <c r="B5008" s="29"/>
      <c r="C5008" s="29"/>
      <c r="D5008" s="29"/>
      <c r="E5008" s="29"/>
      <c r="H5008" s="27"/>
      <c r="K5008"/>
      <c r="P5008" s="27"/>
      <c r="Q5008" s="27"/>
      <c r="R5008" s="27"/>
    </row>
    <row r="5009" spans="1:18">
      <c r="A5009" s="28"/>
      <c r="B5009" s="29"/>
      <c r="C5009" s="29"/>
      <c r="D5009" s="29"/>
      <c r="E5009" s="29"/>
      <c r="H5009" s="27"/>
      <c r="K5009"/>
      <c r="P5009" s="27"/>
      <c r="Q5009" s="27"/>
      <c r="R5009" s="27"/>
    </row>
    <row r="5010" spans="1:18">
      <c r="A5010" s="28"/>
      <c r="B5010" s="29"/>
      <c r="C5010" s="29"/>
      <c r="D5010" s="29"/>
      <c r="E5010" s="29"/>
      <c r="H5010" s="27"/>
      <c r="K5010"/>
      <c r="P5010" s="27"/>
      <c r="Q5010" s="27"/>
      <c r="R5010" s="27"/>
    </row>
    <row r="5011" spans="1:18">
      <c r="A5011" s="28"/>
      <c r="B5011" s="29"/>
      <c r="C5011" s="29"/>
      <c r="D5011" s="29"/>
      <c r="E5011" s="29"/>
      <c r="H5011" s="27"/>
      <c r="K5011"/>
      <c r="P5011" s="27"/>
      <c r="Q5011" s="27"/>
      <c r="R5011" s="27"/>
    </row>
    <row r="5012" spans="1:18">
      <c r="A5012" s="28"/>
      <c r="B5012" s="29"/>
      <c r="C5012" s="29"/>
      <c r="D5012" s="29"/>
      <c r="E5012" s="29"/>
      <c r="H5012" s="27"/>
      <c r="K5012"/>
      <c r="P5012" s="27"/>
      <c r="Q5012" s="27"/>
      <c r="R5012" s="27"/>
    </row>
    <row r="5013" spans="1:18">
      <c r="A5013" s="28"/>
      <c r="B5013" s="29"/>
      <c r="C5013" s="29"/>
      <c r="D5013" s="29"/>
      <c r="E5013" s="29"/>
      <c r="H5013" s="27"/>
      <c r="K5013"/>
      <c r="P5013" s="27"/>
      <c r="Q5013" s="27"/>
      <c r="R5013" s="27"/>
    </row>
    <row r="5014" spans="1:18">
      <c r="A5014" s="28"/>
      <c r="B5014" s="29"/>
      <c r="C5014" s="29"/>
      <c r="D5014" s="29"/>
      <c r="E5014" s="29"/>
      <c r="H5014" s="27"/>
      <c r="K5014"/>
      <c r="P5014" s="27"/>
      <c r="Q5014" s="27"/>
      <c r="R5014" s="27"/>
    </row>
    <row r="5015" spans="1:18">
      <c r="A5015" s="28"/>
      <c r="B5015" s="29"/>
      <c r="C5015" s="29"/>
      <c r="D5015" s="29"/>
      <c r="E5015" s="29"/>
      <c r="H5015" s="27"/>
      <c r="K5015"/>
      <c r="P5015" s="27"/>
      <c r="Q5015" s="27"/>
      <c r="R5015" s="27"/>
    </row>
    <row r="5016" spans="1:18">
      <c r="A5016" s="28"/>
      <c r="B5016" s="29"/>
      <c r="C5016" s="29"/>
      <c r="D5016" s="29"/>
      <c r="E5016" s="29"/>
      <c r="H5016" s="27"/>
      <c r="K5016"/>
      <c r="P5016" s="27"/>
      <c r="Q5016" s="27"/>
      <c r="R5016" s="27"/>
    </row>
    <row r="5017" spans="1:18">
      <c r="A5017" s="28"/>
      <c r="B5017" s="29"/>
      <c r="C5017" s="29"/>
      <c r="D5017" s="29"/>
      <c r="E5017" s="29"/>
      <c r="H5017" s="27"/>
      <c r="K5017"/>
      <c r="P5017" s="27"/>
      <c r="Q5017" s="27"/>
      <c r="R5017" s="27"/>
    </row>
    <row r="5018" spans="1:18">
      <c r="A5018" s="28"/>
      <c r="B5018" s="29"/>
      <c r="C5018" s="29"/>
      <c r="D5018" s="29"/>
      <c r="E5018" s="29"/>
      <c r="H5018" s="27"/>
      <c r="K5018"/>
      <c r="P5018" s="27"/>
      <c r="Q5018" s="27"/>
      <c r="R5018" s="27"/>
    </row>
    <row r="5019" spans="1:18">
      <c r="A5019" s="28"/>
      <c r="B5019" s="29"/>
      <c r="C5019" s="29"/>
      <c r="D5019" s="29"/>
      <c r="E5019" s="29"/>
      <c r="H5019" s="27"/>
      <c r="K5019"/>
      <c r="P5019" s="27"/>
      <c r="Q5019" s="27"/>
      <c r="R5019" s="27"/>
    </row>
    <row r="5020" spans="1:18">
      <c r="A5020" s="28"/>
      <c r="B5020" s="29"/>
      <c r="C5020" s="29"/>
      <c r="D5020" s="29"/>
      <c r="E5020" s="29"/>
      <c r="H5020" s="27"/>
      <c r="K5020"/>
      <c r="P5020" s="27"/>
      <c r="Q5020" s="27"/>
      <c r="R5020" s="27"/>
    </row>
    <row r="5021" spans="1:18">
      <c r="A5021" s="28"/>
      <c r="B5021" s="29"/>
      <c r="C5021" s="29"/>
      <c r="D5021" s="29"/>
      <c r="E5021" s="29"/>
      <c r="H5021" s="27"/>
      <c r="K5021"/>
      <c r="P5021" s="27"/>
      <c r="Q5021" s="27"/>
      <c r="R5021" s="27"/>
    </row>
    <row r="5022" spans="1:18">
      <c r="A5022" s="28"/>
      <c r="B5022" s="29"/>
      <c r="C5022" s="29"/>
      <c r="D5022" s="29"/>
      <c r="E5022" s="29"/>
      <c r="H5022" s="27"/>
      <c r="K5022"/>
      <c r="P5022" s="27"/>
      <c r="Q5022" s="27"/>
      <c r="R5022" s="27"/>
    </row>
    <row r="5023" spans="1:18">
      <c r="A5023" s="28"/>
      <c r="B5023" s="29"/>
      <c r="C5023" s="29"/>
      <c r="D5023" s="29"/>
      <c r="E5023" s="29"/>
      <c r="H5023" s="27"/>
      <c r="K5023"/>
      <c r="P5023" s="27"/>
      <c r="Q5023" s="27"/>
      <c r="R5023" s="27"/>
    </row>
    <row r="5024" spans="1:18">
      <c r="A5024" s="28"/>
      <c r="B5024" s="29"/>
      <c r="C5024" s="29"/>
      <c r="D5024" s="29"/>
      <c r="E5024" s="29"/>
      <c r="H5024" s="27"/>
      <c r="K5024"/>
      <c r="P5024" s="27"/>
      <c r="Q5024" s="27"/>
      <c r="R5024" s="27"/>
    </row>
    <row r="5025" spans="1:18">
      <c r="A5025" s="28"/>
      <c r="B5025" s="29"/>
      <c r="C5025" s="29"/>
      <c r="D5025" s="29"/>
      <c r="E5025" s="29"/>
      <c r="H5025" s="27"/>
      <c r="K5025"/>
      <c r="P5025" s="27"/>
      <c r="Q5025" s="27"/>
      <c r="R5025" s="27"/>
    </row>
    <row r="5026" spans="1:18">
      <c r="A5026" s="28"/>
      <c r="B5026" s="29"/>
      <c r="C5026" s="29"/>
      <c r="D5026" s="29"/>
      <c r="E5026" s="29"/>
      <c r="H5026" s="27"/>
      <c r="K5026"/>
      <c r="P5026" s="27"/>
      <c r="Q5026" s="27"/>
      <c r="R5026" s="27"/>
    </row>
    <row r="5027" spans="1:18">
      <c r="A5027" s="28"/>
      <c r="B5027" s="29"/>
      <c r="C5027" s="29"/>
      <c r="D5027" s="29"/>
      <c r="E5027" s="29"/>
      <c r="H5027" s="27"/>
      <c r="K5027"/>
      <c r="P5027" s="27"/>
      <c r="Q5027" s="27"/>
      <c r="R5027" s="27"/>
    </row>
    <row r="5028" spans="1:18">
      <c r="A5028" s="28"/>
      <c r="B5028" s="29"/>
      <c r="C5028" s="29"/>
      <c r="D5028" s="29"/>
      <c r="E5028" s="29"/>
      <c r="H5028" s="27"/>
      <c r="K5028"/>
      <c r="P5028" s="27"/>
      <c r="Q5028" s="27"/>
      <c r="R5028" s="27"/>
    </row>
    <row r="5029" spans="1:18">
      <c r="A5029" s="28"/>
      <c r="B5029" s="29"/>
      <c r="C5029" s="29"/>
      <c r="D5029" s="29"/>
      <c r="E5029" s="29"/>
      <c r="H5029" s="27"/>
      <c r="K5029"/>
      <c r="P5029" s="27"/>
      <c r="Q5029" s="27"/>
      <c r="R5029" s="27"/>
    </row>
    <row r="5030" spans="1:18">
      <c r="A5030" s="28"/>
      <c r="B5030" s="29"/>
      <c r="C5030" s="29"/>
      <c r="D5030" s="29"/>
      <c r="E5030" s="29"/>
      <c r="H5030" s="27"/>
      <c r="K5030"/>
      <c r="P5030" s="27"/>
      <c r="Q5030" s="27"/>
      <c r="R5030" s="27"/>
    </row>
    <row r="5031" spans="1:18">
      <c r="A5031" s="28"/>
      <c r="B5031" s="29"/>
      <c r="C5031" s="29"/>
      <c r="D5031" s="29"/>
      <c r="E5031" s="29"/>
      <c r="H5031" s="27"/>
      <c r="K5031"/>
      <c r="P5031" s="27"/>
      <c r="Q5031" s="27"/>
      <c r="R5031" s="27"/>
    </row>
    <row r="5032" spans="1:18">
      <c r="A5032" s="28"/>
      <c r="B5032" s="29"/>
      <c r="C5032" s="29"/>
      <c r="D5032" s="29"/>
      <c r="E5032" s="29"/>
      <c r="H5032" s="27"/>
      <c r="K5032"/>
      <c r="P5032" s="27"/>
      <c r="Q5032" s="27"/>
      <c r="R5032" s="27"/>
    </row>
    <row r="5033" spans="1:18">
      <c r="A5033" s="28"/>
      <c r="B5033" s="29"/>
      <c r="C5033" s="29"/>
      <c r="D5033" s="29"/>
      <c r="E5033" s="29"/>
      <c r="H5033" s="27"/>
      <c r="K5033"/>
      <c r="P5033" s="27"/>
      <c r="Q5033" s="27"/>
      <c r="R5033" s="27"/>
    </row>
    <row r="5034" spans="1:18">
      <c r="A5034" s="28"/>
      <c r="B5034" s="29"/>
      <c r="C5034" s="29"/>
      <c r="D5034" s="29"/>
      <c r="E5034" s="29"/>
      <c r="H5034" s="27"/>
      <c r="K5034"/>
      <c r="P5034" s="27"/>
      <c r="Q5034" s="27"/>
      <c r="R5034" s="27"/>
    </row>
    <row r="5035" spans="1:18">
      <c r="A5035" s="28"/>
      <c r="B5035" s="29"/>
      <c r="C5035" s="29"/>
      <c r="D5035" s="29"/>
      <c r="E5035" s="29"/>
      <c r="H5035" s="27"/>
      <c r="K5035"/>
      <c r="P5035" s="27"/>
      <c r="Q5035" s="27"/>
      <c r="R5035" s="27"/>
    </row>
    <row r="5036" spans="1:18">
      <c r="A5036" s="28"/>
      <c r="B5036" s="29"/>
      <c r="C5036" s="29"/>
      <c r="D5036" s="29"/>
      <c r="E5036" s="29"/>
      <c r="H5036" s="27"/>
      <c r="K5036"/>
      <c r="P5036" s="27"/>
      <c r="Q5036" s="27"/>
      <c r="R5036" s="27"/>
    </row>
    <row r="5037" spans="1:18">
      <c r="A5037" s="28"/>
      <c r="B5037" s="29"/>
      <c r="C5037" s="29"/>
      <c r="D5037" s="29"/>
      <c r="E5037" s="29"/>
      <c r="H5037" s="27"/>
      <c r="K5037"/>
      <c r="P5037" s="27"/>
      <c r="Q5037" s="27"/>
      <c r="R5037" s="27"/>
    </row>
    <row r="5038" spans="1:18">
      <c r="A5038" s="28"/>
      <c r="B5038" s="29"/>
      <c r="C5038" s="29"/>
      <c r="D5038" s="29"/>
      <c r="E5038" s="29"/>
      <c r="H5038" s="27"/>
      <c r="K5038"/>
      <c r="P5038" s="27"/>
      <c r="Q5038" s="27"/>
      <c r="R5038" s="27"/>
    </row>
    <row r="5039" spans="1:18">
      <c r="A5039" s="28"/>
      <c r="B5039" s="29"/>
      <c r="C5039" s="29"/>
      <c r="D5039" s="29"/>
      <c r="E5039" s="29"/>
      <c r="H5039" s="27"/>
      <c r="K5039"/>
      <c r="P5039" s="27"/>
      <c r="Q5039" s="27"/>
      <c r="R5039" s="27"/>
    </row>
    <row r="5040" spans="1:18">
      <c r="A5040" s="28"/>
      <c r="B5040" s="29"/>
      <c r="C5040" s="29"/>
      <c r="D5040" s="29"/>
      <c r="E5040" s="29"/>
      <c r="H5040" s="27"/>
      <c r="K5040"/>
      <c r="P5040" s="27"/>
      <c r="Q5040" s="27"/>
      <c r="R5040" s="27"/>
    </row>
    <row r="5041" spans="1:18">
      <c r="A5041" s="28"/>
      <c r="B5041" s="29"/>
      <c r="C5041" s="29"/>
      <c r="D5041" s="29"/>
      <c r="E5041" s="29"/>
      <c r="H5041" s="27"/>
      <c r="K5041"/>
      <c r="P5041" s="27"/>
      <c r="Q5041" s="27"/>
      <c r="R5041" s="27"/>
    </row>
    <row r="5042" spans="1:18">
      <c r="A5042" s="28"/>
      <c r="B5042" s="29"/>
      <c r="C5042" s="29"/>
      <c r="D5042" s="29"/>
      <c r="E5042" s="29"/>
      <c r="H5042" s="27"/>
      <c r="K5042"/>
      <c r="P5042" s="27"/>
      <c r="Q5042" s="27"/>
      <c r="R5042" s="27"/>
    </row>
    <row r="5043" spans="1:18">
      <c r="A5043" s="28"/>
      <c r="B5043" s="29"/>
      <c r="C5043" s="29"/>
      <c r="D5043" s="29"/>
      <c r="E5043" s="29"/>
      <c r="H5043" s="27"/>
      <c r="K5043"/>
      <c r="P5043" s="27"/>
      <c r="Q5043" s="27"/>
      <c r="R5043" s="27"/>
    </row>
    <row r="5044" spans="1:18">
      <c r="A5044" s="28"/>
      <c r="B5044" s="29"/>
      <c r="C5044" s="29"/>
      <c r="D5044" s="29"/>
      <c r="E5044" s="29"/>
      <c r="H5044" s="27"/>
      <c r="K5044"/>
      <c r="P5044" s="27"/>
      <c r="Q5044" s="27"/>
      <c r="R5044" s="27"/>
    </row>
    <row r="5045" spans="1:18">
      <c r="A5045" s="28"/>
      <c r="B5045" s="29"/>
      <c r="C5045" s="29"/>
      <c r="D5045" s="29"/>
      <c r="E5045" s="29"/>
      <c r="H5045" s="27"/>
      <c r="K5045"/>
      <c r="P5045" s="27"/>
      <c r="Q5045" s="27"/>
      <c r="R5045" s="27"/>
    </row>
    <row r="5046" spans="1:18">
      <c r="A5046" s="28"/>
      <c r="B5046" s="29"/>
      <c r="C5046" s="29"/>
      <c r="D5046" s="29"/>
      <c r="E5046" s="29"/>
      <c r="H5046" s="27"/>
      <c r="K5046"/>
      <c r="P5046" s="27"/>
      <c r="Q5046" s="27"/>
      <c r="R5046" s="27"/>
    </row>
    <row r="5047" spans="1:18">
      <c r="A5047" s="28"/>
      <c r="B5047" s="29"/>
      <c r="C5047" s="29"/>
      <c r="D5047" s="29"/>
      <c r="E5047" s="29"/>
      <c r="H5047" s="27"/>
      <c r="K5047"/>
      <c r="P5047" s="27"/>
      <c r="Q5047" s="27"/>
      <c r="R5047" s="27"/>
    </row>
    <row r="5048" spans="1:18">
      <c r="A5048" s="28"/>
      <c r="B5048" s="29"/>
      <c r="C5048" s="29"/>
      <c r="D5048" s="29"/>
      <c r="E5048" s="29"/>
      <c r="H5048" s="27"/>
      <c r="K5048"/>
      <c r="P5048" s="27"/>
      <c r="Q5048" s="27"/>
      <c r="R5048" s="27"/>
    </row>
    <row r="5049" spans="1:18">
      <c r="A5049" s="28"/>
      <c r="B5049" s="29"/>
      <c r="C5049" s="29"/>
      <c r="D5049" s="29"/>
      <c r="E5049" s="29"/>
      <c r="H5049" s="27"/>
      <c r="K5049"/>
      <c r="P5049" s="27"/>
      <c r="Q5049" s="27"/>
      <c r="R5049" s="27"/>
    </row>
    <row r="5050" spans="1:18">
      <c r="A5050" s="28"/>
      <c r="B5050" s="29"/>
      <c r="C5050" s="29"/>
      <c r="D5050" s="29"/>
      <c r="E5050" s="29"/>
      <c r="H5050" s="27"/>
      <c r="K5050"/>
      <c r="P5050" s="27"/>
      <c r="Q5050" s="27"/>
      <c r="R5050" s="27"/>
    </row>
    <row r="5051" spans="1:18">
      <c r="A5051" s="28"/>
      <c r="B5051" s="29"/>
      <c r="C5051" s="29"/>
      <c r="D5051" s="29"/>
      <c r="E5051" s="29"/>
      <c r="H5051" s="27"/>
      <c r="K5051"/>
      <c r="P5051" s="27"/>
      <c r="Q5051" s="27"/>
      <c r="R5051" s="27"/>
    </row>
    <row r="5052" spans="1:18">
      <c r="A5052" s="28"/>
      <c r="B5052" s="29"/>
      <c r="C5052" s="29"/>
      <c r="D5052" s="29"/>
      <c r="E5052" s="29"/>
      <c r="H5052" s="27"/>
      <c r="K5052"/>
      <c r="P5052" s="27"/>
      <c r="Q5052" s="27"/>
      <c r="R5052" s="27"/>
    </row>
    <row r="5053" spans="1:18">
      <c r="A5053" s="28"/>
      <c r="B5053" s="29"/>
      <c r="C5053" s="29"/>
      <c r="D5053" s="29"/>
      <c r="E5053" s="29"/>
      <c r="H5053" s="27"/>
      <c r="K5053"/>
      <c r="P5053" s="27"/>
      <c r="Q5053" s="27"/>
      <c r="R5053" s="27"/>
    </row>
    <row r="5054" spans="1:18">
      <c r="A5054" s="28"/>
      <c r="B5054" s="29"/>
      <c r="C5054" s="29"/>
      <c r="D5054" s="29"/>
      <c r="E5054" s="29"/>
      <c r="H5054" s="27"/>
      <c r="K5054"/>
      <c r="P5054" s="27"/>
      <c r="Q5054" s="27"/>
      <c r="R5054" s="27"/>
    </row>
    <row r="5055" spans="1:18">
      <c r="A5055" s="28"/>
      <c r="B5055" s="29"/>
      <c r="C5055" s="29"/>
      <c r="D5055" s="29"/>
      <c r="E5055" s="29"/>
      <c r="H5055" s="27"/>
      <c r="K5055"/>
      <c r="P5055" s="27"/>
      <c r="Q5055" s="27"/>
      <c r="R5055" s="27"/>
    </row>
    <row r="5056" spans="1:18">
      <c r="A5056" s="28"/>
      <c r="B5056" s="29"/>
      <c r="C5056" s="29"/>
      <c r="D5056" s="29"/>
      <c r="E5056" s="29"/>
      <c r="H5056" s="27"/>
      <c r="K5056"/>
      <c r="P5056" s="27"/>
      <c r="Q5056" s="27"/>
      <c r="R5056" s="27"/>
    </row>
    <row r="5057" spans="1:18">
      <c r="A5057" s="28"/>
      <c r="B5057" s="29"/>
      <c r="C5057" s="29"/>
      <c r="D5057" s="29"/>
      <c r="E5057" s="29"/>
      <c r="H5057" s="27"/>
      <c r="K5057"/>
      <c r="P5057" s="27"/>
      <c r="Q5057" s="27"/>
      <c r="R5057" s="27"/>
    </row>
    <row r="5058" spans="1:18">
      <c r="A5058" s="28"/>
      <c r="B5058" s="29"/>
      <c r="C5058" s="29"/>
      <c r="D5058" s="29"/>
      <c r="E5058" s="29"/>
      <c r="H5058" s="27"/>
      <c r="K5058"/>
      <c r="P5058" s="27"/>
      <c r="Q5058" s="27"/>
      <c r="R5058" s="27"/>
    </row>
    <row r="5059" spans="1:18">
      <c r="A5059" s="28"/>
      <c r="B5059" s="29"/>
      <c r="C5059" s="29"/>
      <c r="D5059" s="29"/>
      <c r="E5059" s="29"/>
      <c r="H5059" s="27"/>
      <c r="K5059"/>
      <c r="P5059" s="27"/>
      <c r="Q5059" s="27"/>
      <c r="R5059" s="27"/>
    </row>
    <row r="5060" spans="1:18">
      <c r="A5060" s="28"/>
      <c r="B5060" s="29"/>
      <c r="C5060" s="29"/>
      <c r="D5060" s="29"/>
      <c r="E5060" s="29"/>
      <c r="H5060" s="27"/>
      <c r="K5060"/>
      <c r="P5060" s="27"/>
      <c r="Q5060" s="27"/>
      <c r="R5060" s="27"/>
    </row>
    <row r="5061" spans="1:18">
      <c r="A5061" s="28"/>
      <c r="B5061" s="29"/>
      <c r="C5061" s="29"/>
      <c r="D5061" s="29"/>
      <c r="E5061" s="29"/>
      <c r="H5061" s="27"/>
      <c r="K5061"/>
      <c r="P5061" s="27"/>
      <c r="Q5061" s="27"/>
      <c r="R5061" s="27"/>
    </row>
    <row r="5062" spans="1:18">
      <c r="A5062" s="28"/>
      <c r="B5062" s="29"/>
      <c r="C5062" s="29"/>
      <c r="D5062" s="29"/>
      <c r="E5062" s="29"/>
      <c r="H5062" s="27"/>
      <c r="K5062"/>
      <c r="P5062" s="27"/>
      <c r="Q5062" s="27"/>
      <c r="R5062" s="27"/>
    </row>
    <row r="5063" spans="1:18">
      <c r="A5063" s="28"/>
      <c r="B5063" s="29"/>
      <c r="C5063" s="29"/>
      <c r="D5063" s="29"/>
      <c r="E5063" s="29"/>
      <c r="H5063" s="27"/>
      <c r="K5063"/>
      <c r="P5063" s="27"/>
      <c r="Q5063" s="27"/>
      <c r="R5063" s="27"/>
    </row>
    <row r="5064" spans="1:18">
      <c r="A5064" s="28"/>
      <c r="B5064" s="29"/>
      <c r="C5064" s="29"/>
      <c r="D5064" s="29"/>
      <c r="E5064" s="29"/>
      <c r="H5064" s="27"/>
      <c r="K5064"/>
      <c r="P5064" s="27"/>
      <c r="Q5064" s="27"/>
      <c r="R5064" s="27"/>
    </row>
    <row r="5065" spans="1:18">
      <c r="A5065" s="28"/>
      <c r="B5065" s="29"/>
      <c r="C5065" s="29"/>
      <c r="D5065" s="29"/>
      <c r="E5065" s="29"/>
      <c r="H5065" s="27"/>
      <c r="K5065"/>
      <c r="P5065" s="27"/>
      <c r="Q5065" s="27"/>
      <c r="R5065" s="27"/>
    </row>
    <row r="5066" spans="1:18">
      <c r="A5066" s="28"/>
      <c r="B5066" s="29"/>
      <c r="C5066" s="29"/>
      <c r="D5066" s="29"/>
      <c r="E5066" s="29"/>
      <c r="H5066" s="27"/>
      <c r="K5066"/>
      <c r="P5066" s="27"/>
      <c r="Q5066" s="27"/>
      <c r="R5066" s="27"/>
    </row>
    <row r="5067" spans="1:18">
      <c r="A5067" s="28"/>
      <c r="B5067" s="29"/>
      <c r="C5067" s="29"/>
      <c r="D5067" s="29"/>
      <c r="E5067" s="29"/>
      <c r="H5067" s="27"/>
      <c r="K5067"/>
      <c r="P5067" s="27"/>
      <c r="Q5067" s="27"/>
      <c r="R5067" s="27"/>
    </row>
    <row r="5068" spans="1:18">
      <c r="A5068" s="28"/>
      <c r="B5068" s="29"/>
      <c r="C5068" s="29"/>
      <c r="D5068" s="29"/>
      <c r="E5068" s="29"/>
      <c r="H5068" s="27"/>
      <c r="K5068"/>
      <c r="P5068" s="27"/>
      <c r="Q5068" s="27"/>
      <c r="R5068" s="27"/>
    </row>
    <row r="5069" spans="1:18">
      <c r="A5069" s="28"/>
      <c r="B5069" s="29"/>
      <c r="C5069" s="29"/>
      <c r="D5069" s="29"/>
      <c r="E5069" s="29"/>
      <c r="H5069" s="27"/>
      <c r="K5069"/>
      <c r="P5069" s="27"/>
      <c r="Q5069" s="27"/>
      <c r="R5069" s="27"/>
    </row>
    <row r="5070" spans="1:18">
      <c r="A5070" s="28"/>
      <c r="B5070" s="29"/>
      <c r="C5070" s="29"/>
      <c r="D5070" s="29"/>
      <c r="E5070" s="29"/>
      <c r="H5070" s="27"/>
      <c r="K5070"/>
      <c r="P5070" s="27"/>
      <c r="Q5070" s="27"/>
      <c r="R5070" s="27"/>
    </row>
    <row r="5071" spans="1:18">
      <c r="A5071" s="28"/>
      <c r="B5071" s="29"/>
      <c r="C5071" s="29"/>
      <c r="D5071" s="29"/>
      <c r="E5071" s="29"/>
      <c r="H5071" s="27"/>
      <c r="K5071"/>
      <c r="P5071" s="27"/>
      <c r="Q5071" s="27"/>
      <c r="R5071" s="27"/>
    </row>
    <row r="5072" spans="1:18">
      <c r="A5072" s="28"/>
      <c r="B5072" s="29"/>
      <c r="C5072" s="29"/>
      <c r="D5072" s="29"/>
      <c r="E5072" s="29"/>
      <c r="H5072" s="27"/>
      <c r="K5072"/>
      <c r="P5072" s="27"/>
      <c r="Q5072" s="27"/>
      <c r="R5072" s="27"/>
    </row>
    <row r="5073" spans="1:18">
      <c r="A5073" s="28"/>
      <c r="B5073" s="29"/>
      <c r="C5073" s="29"/>
      <c r="D5073" s="29"/>
      <c r="E5073" s="29"/>
      <c r="H5073" s="27"/>
      <c r="K5073"/>
      <c r="P5073" s="27"/>
      <c r="Q5073" s="27"/>
      <c r="R5073" s="27"/>
    </row>
    <row r="5074" spans="1:18">
      <c r="A5074" s="28"/>
      <c r="B5074" s="29"/>
      <c r="C5074" s="29"/>
      <c r="D5074" s="29"/>
      <c r="E5074" s="29"/>
      <c r="H5074" s="27"/>
      <c r="K5074"/>
      <c r="P5074" s="27"/>
      <c r="Q5074" s="27"/>
      <c r="R5074" s="27"/>
    </row>
    <row r="5075" spans="1:18">
      <c r="A5075" s="28"/>
      <c r="B5075" s="29"/>
      <c r="C5075" s="29"/>
      <c r="D5075" s="29"/>
      <c r="E5075" s="29"/>
      <c r="H5075" s="27"/>
      <c r="K5075"/>
      <c r="P5075" s="27"/>
      <c r="Q5075" s="27"/>
      <c r="R5075" s="27"/>
    </row>
    <row r="5076" spans="1:18">
      <c r="A5076" s="28"/>
      <c r="B5076" s="29"/>
      <c r="C5076" s="29"/>
      <c r="D5076" s="29"/>
      <c r="E5076" s="29"/>
      <c r="H5076" s="27"/>
      <c r="K5076"/>
      <c r="P5076" s="27"/>
      <c r="Q5076" s="27"/>
      <c r="R5076" s="27"/>
    </row>
    <row r="5077" spans="1:18">
      <c r="A5077" s="28"/>
      <c r="B5077" s="29"/>
      <c r="C5077" s="29"/>
      <c r="D5077" s="29"/>
      <c r="E5077" s="29"/>
      <c r="H5077" s="27"/>
      <c r="K5077"/>
      <c r="P5077" s="27"/>
      <c r="Q5077" s="27"/>
      <c r="R5077" s="27"/>
    </row>
    <row r="5078" spans="1:18">
      <c r="A5078" s="28"/>
      <c r="B5078" s="29"/>
      <c r="C5078" s="29"/>
      <c r="D5078" s="29"/>
      <c r="E5078" s="29"/>
      <c r="H5078" s="27"/>
      <c r="K5078"/>
      <c r="P5078" s="27"/>
      <c r="Q5078" s="27"/>
      <c r="R5078" s="27"/>
    </row>
    <row r="5079" spans="1:18">
      <c r="A5079" s="28"/>
      <c r="B5079" s="29"/>
      <c r="C5079" s="29"/>
      <c r="D5079" s="29"/>
      <c r="E5079" s="29"/>
      <c r="H5079" s="27"/>
      <c r="K5079"/>
      <c r="P5079" s="27"/>
      <c r="Q5079" s="27"/>
      <c r="R5079" s="27"/>
    </row>
    <row r="5080" spans="1:18">
      <c r="A5080" s="28"/>
      <c r="B5080" s="29"/>
      <c r="C5080" s="29"/>
      <c r="D5080" s="29"/>
      <c r="E5080" s="29"/>
      <c r="H5080" s="27"/>
      <c r="K5080"/>
      <c r="P5080" s="27"/>
      <c r="Q5080" s="27"/>
      <c r="R5080" s="27"/>
    </row>
    <row r="5081" spans="1:18">
      <c r="A5081" s="28"/>
      <c r="B5081" s="29"/>
      <c r="C5081" s="29"/>
      <c r="D5081" s="29"/>
      <c r="E5081" s="29"/>
      <c r="H5081" s="27"/>
      <c r="K5081"/>
      <c r="P5081" s="27"/>
      <c r="Q5081" s="27"/>
      <c r="R5081" s="27"/>
    </row>
    <row r="5082" spans="1:18">
      <c r="A5082" s="28"/>
      <c r="B5082" s="29"/>
      <c r="C5082" s="29"/>
      <c r="D5082" s="29"/>
      <c r="E5082" s="29"/>
      <c r="H5082" s="27"/>
      <c r="K5082"/>
      <c r="P5082" s="27"/>
      <c r="Q5082" s="27"/>
      <c r="R5082" s="27"/>
    </row>
    <row r="5083" spans="1:18">
      <c r="A5083" s="28"/>
      <c r="B5083" s="29"/>
      <c r="C5083" s="29"/>
      <c r="D5083" s="29"/>
      <c r="E5083" s="29"/>
      <c r="H5083" s="27"/>
      <c r="K5083"/>
      <c r="P5083" s="27"/>
      <c r="Q5083" s="27"/>
      <c r="R5083" s="27"/>
    </row>
    <row r="5084" spans="1:18">
      <c r="A5084" s="28"/>
      <c r="B5084" s="29"/>
      <c r="C5084" s="29"/>
      <c r="D5084" s="29"/>
      <c r="E5084" s="29"/>
      <c r="H5084" s="27"/>
      <c r="K5084"/>
      <c r="P5084" s="27"/>
      <c r="Q5084" s="27"/>
      <c r="R5084" s="27"/>
    </row>
    <row r="5085" spans="1:18">
      <c r="A5085" s="28"/>
      <c r="B5085" s="29"/>
      <c r="C5085" s="29"/>
      <c r="D5085" s="29"/>
      <c r="E5085" s="29"/>
      <c r="H5085" s="27"/>
      <c r="K5085"/>
      <c r="P5085" s="27"/>
      <c r="Q5085" s="27"/>
      <c r="R5085" s="27"/>
    </row>
    <row r="5086" spans="1:18">
      <c r="A5086" s="28"/>
      <c r="B5086" s="29"/>
      <c r="C5086" s="29"/>
      <c r="D5086" s="29"/>
      <c r="E5086" s="29"/>
      <c r="H5086" s="27"/>
      <c r="K5086"/>
      <c r="P5086" s="27"/>
      <c r="Q5086" s="27"/>
      <c r="R5086" s="27"/>
    </row>
    <row r="5087" spans="1:18">
      <c r="A5087" s="28"/>
      <c r="B5087" s="29"/>
      <c r="C5087" s="29"/>
      <c r="D5087" s="29"/>
      <c r="E5087" s="29"/>
      <c r="H5087" s="27"/>
      <c r="K5087"/>
      <c r="P5087" s="27"/>
      <c r="Q5087" s="27"/>
      <c r="R5087" s="27"/>
    </row>
    <row r="5088" spans="1:18">
      <c r="A5088" s="28"/>
      <c r="B5088" s="29"/>
      <c r="C5088" s="29"/>
      <c r="D5088" s="29"/>
      <c r="E5088" s="29"/>
      <c r="H5088" s="27"/>
      <c r="K5088"/>
      <c r="P5088" s="27"/>
      <c r="Q5088" s="27"/>
      <c r="R5088" s="27"/>
    </row>
    <row r="5089" spans="1:18">
      <c r="A5089" s="28"/>
      <c r="B5089" s="29"/>
      <c r="C5089" s="29"/>
      <c r="D5089" s="29"/>
      <c r="E5089" s="29"/>
      <c r="H5089" s="27"/>
      <c r="K5089"/>
      <c r="P5089" s="27"/>
      <c r="Q5089" s="27"/>
      <c r="R5089" s="27"/>
    </row>
    <row r="5090" spans="1:18">
      <c r="A5090" s="28"/>
      <c r="B5090" s="29"/>
      <c r="C5090" s="29"/>
      <c r="D5090" s="29"/>
      <c r="E5090" s="29"/>
      <c r="H5090" s="27"/>
      <c r="K5090"/>
      <c r="P5090" s="27"/>
      <c r="Q5090" s="27"/>
      <c r="R5090" s="27"/>
    </row>
    <row r="5091" spans="1:18">
      <c r="A5091" s="28"/>
      <c r="B5091" s="29"/>
      <c r="C5091" s="29"/>
      <c r="D5091" s="29"/>
      <c r="E5091" s="29"/>
      <c r="H5091" s="27"/>
      <c r="K5091"/>
      <c r="P5091" s="27"/>
      <c r="Q5091" s="27"/>
      <c r="R5091" s="27"/>
    </row>
    <row r="5092" spans="1:18">
      <c r="A5092" s="28"/>
      <c r="B5092" s="29"/>
      <c r="C5092" s="29"/>
      <c r="D5092" s="29"/>
      <c r="E5092" s="29"/>
      <c r="H5092" s="27"/>
      <c r="K5092"/>
      <c r="P5092" s="27"/>
      <c r="Q5092" s="27"/>
      <c r="R5092" s="27"/>
    </row>
    <row r="5093" spans="1:18">
      <c r="A5093" s="28"/>
      <c r="B5093" s="29"/>
      <c r="C5093" s="29"/>
      <c r="D5093" s="29"/>
      <c r="E5093" s="29"/>
      <c r="H5093" s="27"/>
      <c r="K5093"/>
      <c r="P5093" s="27"/>
      <c r="Q5093" s="27"/>
      <c r="R5093" s="27"/>
    </row>
    <row r="5094" spans="1:18">
      <c r="A5094" s="28"/>
      <c r="B5094" s="29"/>
      <c r="C5094" s="29"/>
      <c r="D5094" s="29"/>
      <c r="E5094" s="29"/>
      <c r="H5094" s="27"/>
      <c r="K5094"/>
      <c r="P5094" s="27"/>
      <c r="Q5094" s="27"/>
      <c r="R5094" s="27"/>
    </row>
    <row r="5095" spans="1:18">
      <c r="A5095" s="28"/>
      <c r="B5095" s="29"/>
      <c r="C5095" s="29"/>
      <c r="D5095" s="29"/>
      <c r="E5095" s="29"/>
      <c r="H5095" s="27"/>
      <c r="K5095"/>
      <c r="P5095" s="27"/>
      <c r="Q5095" s="27"/>
      <c r="R5095" s="27"/>
    </row>
    <row r="5096" spans="1:18">
      <c r="A5096" s="28"/>
      <c r="B5096" s="29"/>
      <c r="C5096" s="29"/>
      <c r="D5096" s="29"/>
      <c r="E5096" s="29"/>
      <c r="H5096" s="27"/>
      <c r="K5096"/>
      <c r="P5096" s="27"/>
      <c r="Q5096" s="27"/>
      <c r="R5096" s="27"/>
    </row>
    <row r="5097" spans="1:18">
      <c r="A5097" s="28"/>
      <c r="B5097" s="29"/>
      <c r="C5097" s="29"/>
      <c r="D5097" s="29"/>
      <c r="E5097" s="29"/>
      <c r="H5097" s="27"/>
      <c r="K5097"/>
      <c r="P5097" s="27"/>
      <c r="Q5097" s="27"/>
      <c r="R5097" s="27"/>
    </row>
    <row r="5098" spans="1:18">
      <c r="A5098" s="28"/>
      <c r="B5098" s="29"/>
      <c r="C5098" s="29"/>
      <c r="D5098" s="29"/>
      <c r="E5098" s="29"/>
      <c r="H5098" s="27"/>
      <c r="K5098"/>
      <c r="P5098" s="27"/>
      <c r="Q5098" s="27"/>
      <c r="R5098" s="27"/>
    </row>
    <row r="5099" spans="1:18">
      <c r="A5099" s="28"/>
      <c r="B5099" s="29"/>
      <c r="C5099" s="29"/>
      <c r="D5099" s="29"/>
      <c r="E5099" s="29"/>
      <c r="H5099" s="27"/>
      <c r="K5099"/>
      <c r="P5099" s="27"/>
      <c r="Q5099" s="27"/>
      <c r="R5099" s="27"/>
    </row>
    <row r="5100" spans="1:18">
      <c r="A5100" s="28"/>
      <c r="B5100" s="29"/>
      <c r="C5100" s="29"/>
      <c r="D5100" s="29"/>
      <c r="E5100" s="29"/>
      <c r="H5100" s="27"/>
      <c r="K5100"/>
      <c r="P5100" s="27"/>
      <c r="Q5100" s="27"/>
      <c r="R5100" s="27"/>
    </row>
    <row r="5101" spans="1:18">
      <c r="A5101" s="28"/>
      <c r="B5101" s="29"/>
      <c r="C5101" s="29"/>
      <c r="D5101" s="29"/>
      <c r="E5101" s="29"/>
      <c r="H5101" s="27"/>
      <c r="K5101"/>
      <c r="P5101" s="27"/>
      <c r="Q5101" s="27"/>
      <c r="R5101" s="27"/>
    </row>
    <row r="5102" spans="1:18">
      <c r="A5102" s="28"/>
      <c r="B5102" s="29"/>
      <c r="C5102" s="29"/>
      <c r="D5102" s="29"/>
      <c r="E5102" s="29"/>
      <c r="H5102" s="27"/>
      <c r="K5102"/>
      <c r="P5102" s="27"/>
      <c r="Q5102" s="27"/>
      <c r="R5102" s="27"/>
    </row>
    <row r="5103" spans="1:18">
      <c r="A5103" s="28"/>
      <c r="B5103" s="29"/>
      <c r="C5103" s="29"/>
      <c r="D5103" s="29"/>
      <c r="E5103" s="29"/>
      <c r="H5103" s="27"/>
      <c r="K5103"/>
      <c r="P5103" s="27"/>
      <c r="Q5103" s="27"/>
      <c r="R5103" s="27"/>
    </row>
    <row r="5104" spans="1:18">
      <c r="A5104" s="28"/>
      <c r="B5104" s="29"/>
      <c r="C5104" s="29"/>
      <c r="D5104" s="29"/>
      <c r="E5104" s="29"/>
      <c r="H5104" s="27"/>
      <c r="K5104"/>
      <c r="P5104" s="27"/>
      <c r="Q5104" s="27"/>
      <c r="R5104" s="27"/>
    </row>
    <row r="5105" spans="1:18">
      <c r="A5105" s="28"/>
      <c r="B5105" s="29"/>
      <c r="C5105" s="29"/>
      <c r="D5105" s="29"/>
      <c r="E5105" s="29"/>
      <c r="H5105" s="27"/>
      <c r="K5105"/>
      <c r="P5105" s="27"/>
      <c r="Q5105" s="27"/>
      <c r="R5105" s="27"/>
    </row>
    <row r="5106" spans="1:18">
      <c r="A5106" s="28"/>
      <c r="B5106" s="29"/>
      <c r="C5106" s="29"/>
      <c r="D5106" s="29"/>
      <c r="E5106" s="29"/>
      <c r="H5106" s="27"/>
      <c r="K5106"/>
      <c r="P5106" s="27"/>
      <c r="Q5106" s="27"/>
      <c r="R5106" s="27"/>
    </row>
    <row r="5107" spans="1:18">
      <c r="A5107" s="28"/>
      <c r="B5107" s="29"/>
      <c r="C5107" s="29"/>
      <c r="D5107" s="29"/>
      <c r="E5107" s="29"/>
      <c r="H5107" s="27"/>
      <c r="K5107"/>
      <c r="P5107" s="27"/>
      <c r="Q5107" s="27"/>
      <c r="R5107" s="27"/>
    </row>
    <row r="5108" spans="1:18">
      <c r="A5108" s="28"/>
      <c r="B5108" s="29"/>
      <c r="C5108" s="29"/>
      <c r="D5108" s="29"/>
      <c r="E5108" s="29"/>
      <c r="H5108" s="27"/>
      <c r="K5108"/>
      <c r="P5108" s="27"/>
      <c r="Q5108" s="27"/>
      <c r="R5108" s="27"/>
    </row>
    <row r="5109" spans="1:18">
      <c r="A5109" s="28"/>
      <c r="B5109" s="29"/>
      <c r="C5109" s="29"/>
      <c r="D5109" s="29"/>
      <c r="E5109" s="29"/>
      <c r="H5109" s="27"/>
      <c r="K5109"/>
      <c r="P5109" s="27"/>
      <c r="Q5109" s="27"/>
      <c r="R5109" s="27"/>
    </row>
    <row r="5110" spans="1:18">
      <c r="A5110" s="28"/>
      <c r="B5110" s="29"/>
      <c r="C5110" s="29"/>
      <c r="D5110" s="29"/>
      <c r="E5110" s="29"/>
      <c r="H5110" s="27"/>
      <c r="K5110"/>
      <c r="P5110" s="27"/>
      <c r="Q5110" s="27"/>
      <c r="R5110" s="27"/>
    </row>
    <row r="5111" spans="1:18">
      <c r="A5111" s="28"/>
      <c r="B5111" s="29"/>
      <c r="C5111" s="29"/>
      <c r="D5111" s="29"/>
      <c r="E5111" s="29"/>
      <c r="H5111" s="27"/>
      <c r="K5111"/>
      <c r="P5111" s="27"/>
      <c r="Q5111" s="27"/>
      <c r="R5111" s="27"/>
    </row>
    <row r="5112" spans="1:18">
      <c r="A5112" s="28"/>
      <c r="B5112" s="29"/>
      <c r="C5112" s="29"/>
      <c r="D5112" s="29"/>
      <c r="E5112" s="29"/>
      <c r="H5112" s="27"/>
      <c r="K5112"/>
      <c r="P5112" s="27"/>
      <c r="Q5112" s="27"/>
      <c r="R5112" s="27"/>
    </row>
    <row r="5113" spans="1:18">
      <c r="A5113" s="28"/>
      <c r="B5113" s="29"/>
      <c r="C5113" s="29"/>
      <c r="D5113" s="29"/>
      <c r="E5113" s="29"/>
      <c r="H5113" s="27"/>
      <c r="K5113"/>
      <c r="P5113" s="27"/>
      <c r="Q5113" s="27"/>
      <c r="R5113" s="27"/>
    </row>
    <row r="5114" spans="1:18">
      <c r="A5114" s="28"/>
      <c r="B5114" s="29"/>
      <c r="C5114" s="29"/>
      <c r="D5114" s="29"/>
      <c r="E5114" s="29"/>
      <c r="H5114" s="27"/>
      <c r="K5114"/>
      <c r="P5114" s="27"/>
      <c r="Q5114" s="27"/>
      <c r="R5114" s="27"/>
    </row>
    <row r="5115" spans="1:18">
      <c r="A5115" s="28"/>
      <c r="B5115" s="29"/>
      <c r="C5115" s="29"/>
      <c r="D5115" s="29"/>
      <c r="E5115" s="29"/>
      <c r="H5115" s="27"/>
      <c r="K5115"/>
      <c r="P5115" s="27"/>
      <c r="Q5115" s="27"/>
      <c r="R5115" s="27"/>
    </row>
    <row r="5116" spans="1:18">
      <c r="A5116" s="28"/>
      <c r="B5116" s="29"/>
      <c r="C5116" s="29"/>
      <c r="D5116" s="29"/>
      <c r="E5116" s="29"/>
      <c r="H5116" s="27"/>
      <c r="K5116"/>
      <c r="P5116" s="27"/>
      <c r="Q5116" s="27"/>
      <c r="R5116" s="27"/>
    </row>
    <row r="5117" spans="1:18">
      <c r="A5117" s="28"/>
      <c r="B5117" s="29"/>
      <c r="C5117" s="29"/>
      <c r="D5117" s="29"/>
      <c r="E5117" s="29"/>
      <c r="H5117" s="27"/>
      <c r="K5117"/>
      <c r="P5117" s="27"/>
      <c r="Q5117" s="27"/>
      <c r="R5117" s="27"/>
    </row>
    <row r="5118" spans="1:18">
      <c r="A5118" s="28"/>
      <c r="B5118" s="29"/>
      <c r="C5118" s="29"/>
      <c r="D5118" s="29"/>
      <c r="E5118" s="29"/>
      <c r="H5118" s="27"/>
      <c r="K5118"/>
      <c r="P5118" s="27"/>
      <c r="Q5118" s="27"/>
      <c r="R5118" s="27"/>
    </row>
    <row r="5119" spans="1:18">
      <c r="A5119" s="28"/>
      <c r="B5119" s="29"/>
      <c r="C5119" s="29"/>
      <c r="D5119" s="29"/>
      <c r="E5119" s="29"/>
      <c r="H5119" s="27"/>
      <c r="K5119"/>
      <c r="P5119" s="27"/>
      <c r="Q5119" s="27"/>
      <c r="R5119" s="27"/>
    </row>
    <row r="5120" spans="1:18">
      <c r="A5120" s="28"/>
      <c r="B5120" s="29"/>
      <c r="C5120" s="29"/>
      <c r="D5120" s="29"/>
      <c r="E5120" s="29"/>
      <c r="H5120" s="27"/>
      <c r="K5120"/>
      <c r="P5120" s="27"/>
      <c r="Q5120" s="27"/>
      <c r="R5120" s="27"/>
    </row>
    <row r="5121" spans="1:18">
      <c r="A5121" s="28"/>
      <c r="B5121" s="29"/>
      <c r="C5121" s="29"/>
      <c r="D5121" s="29"/>
      <c r="E5121" s="29"/>
      <c r="H5121" s="27"/>
      <c r="K5121"/>
      <c r="P5121" s="27"/>
      <c r="Q5121" s="27"/>
      <c r="R5121" s="27"/>
    </row>
    <row r="5122" spans="1:18">
      <c r="A5122" s="28"/>
      <c r="B5122" s="29"/>
      <c r="C5122" s="29"/>
      <c r="D5122" s="29"/>
      <c r="E5122" s="29"/>
      <c r="H5122" s="27"/>
      <c r="K5122"/>
      <c r="P5122" s="27"/>
      <c r="Q5122" s="27"/>
      <c r="R5122" s="27"/>
    </row>
    <row r="5123" spans="1:18">
      <c r="A5123" s="28"/>
      <c r="B5123" s="29"/>
      <c r="C5123" s="29"/>
      <c r="D5123" s="29"/>
      <c r="E5123" s="29"/>
      <c r="H5123" s="27"/>
      <c r="K5123"/>
      <c r="P5123" s="27"/>
      <c r="Q5123" s="27"/>
      <c r="R5123" s="27"/>
    </row>
    <row r="5124" spans="1:18">
      <c r="A5124" s="28"/>
      <c r="B5124" s="29"/>
      <c r="C5124" s="29"/>
      <c r="D5124" s="29"/>
      <c r="E5124" s="29"/>
      <c r="H5124" s="27"/>
      <c r="K5124"/>
      <c r="P5124" s="27"/>
      <c r="Q5124" s="27"/>
      <c r="R5124" s="27"/>
    </row>
    <row r="5125" spans="1:18">
      <c r="A5125" s="28"/>
      <c r="B5125" s="29"/>
      <c r="C5125" s="29"/>
      <c r="D5125" s="29"/>
      <c r="E5125" s="29"/>
      <c r="H5125" s="27"/>
      <c r="K5125"/>
      <c r="P5125" s="27"/>
      <c r="Q5125" s="27"/>
      <c r="R5125" s="27"/>
    </row>
    <row r="5126" spans="1:18">
      <c r="A5126" s="28"/>
      <c r="B5126" s="29"/>
      <c r="C5126" s="29"/>
      <c r="D5126" s="29"/>
      <c r="E5126" s="29"/>
      <c r="H5126" s="27"/>
      <c r="K5126"/>
      <c r="P5126" s="27"/>
      <c r="Q5126" s="27"/>
      <c r="R5126" s="27"/>
    </row>
    <row r="5127" spans="1:18">
      <c r="A5127" s="28"/>
      <c r="B5127" s="29"/>
      <c r="C5127" s="29"/>
      <c r="D5127" s="29"/>
      <c r="E5127" s="29"/>
      <c r="H5127" s="27"/>
      <c r="K5127"/>
      <c r="P5127" s="27"/>
      <c r="Q5127" s="27"/>
      <c r="R5127" s="27"/>
    </row>
    <row r="5128" spans="1:18">
      <c r="A5128" s="28"/>
      <c r="B5128" s="29"/>
      <c r="C5128" s="29"/>
      <c r="D5128" s="29"/>
      <c r="E5128" s="29"/>
      <c r="H5128" s="27"/>
      <c r="K5128"/>
      <c r="P5128" s="27"/>
      <c r="Q5128" s="27"/>
      <c r="R5128" s="27"/>
    </row>
    <row r="5129" spans="1:18">
      <c r="A5129" s="28"/>
      <c r="B5129" s="29"/>
      <c r="C5129" s="29"/>
      <c r="D5129" s="29"/>
      <c r="E5129" s="29"/>
      <c r="H5129" s="27"/>
      <c r="K5129"/>
      <c r="P5129" s="27"/>
      <c r="Q5129" s="27"/>
      <c r="R5129" s="27"/>
    </row>
    <row r="5130" spans="1:18">
      <c r="A5130" s="28"/>
      <c r="B5130" s="29"/>
      <c r="C5130" s="29"/>
      <c r="D5130" s="29"/>
      <c r="E5130" s="29"/>
      <c r="H5130" s="27"/>
      <c r="K5130"/>
      <c r="P5130" s="27"/>
      <c r="Q5130" s="27"/>
      <c r="R5130" s="27"/>
    </row>
    <row r="5131" spans="1:18">
      <c r="A5131" s="28"/>
      <c r="B5131" s="29"/>
      <c r="C5131" s="29"/>
      <c r="D5131" s="29"/>
      <c r="E5131" s="29"/>
      <c r="H5131" s="27"/>
      <c r="K5131"/>
      <c r="P5131" s="27"/>
      <c r="Q5131" s="27"/>
      <c r="R5131" s="27"/>
    </row>
    <row r="5132" spans="1:18">
      <c r="A5132" s="28"/>
      <c r="B5132" s="29"/>
      <c r="C5132" s="29"/>
      <c r="D5132" s="29"/>
      <c r="E5132" s="29"/>
      <c r="H5132" s="27"/>
      <c r="K5132"/>
      <c r="P5132" s="27"/>
      <c r="Q5132" s="27"/>
      <c r="R5132" s="27"/>
    </row>
    <row r="5133" spans="1:18">
      <c r="A5133" s="28"/>
      <c r="B5133" s="29"/>
      <c r="C5133" s="29"/>
      <c r="D5133" s="29"/>
      <c r="E5133" s="29"/>
      <c r="H5133" s="27"/>
      <c r="K5133"/>
      <c r="P5133" s="27"/>
      <c r="Q5133" s="27"/>
      <c r="R5133" s="27"/>
    </row>
    <row r="5134" spans="1:18">
      <c r="A5134" s="28"/>
      <c r="B5134" s="29"/>
      <c r="C5134" s="29"/>
      <c r="D5134" s="29"/>
      <c r="E5134" s="29"/>
      <c r="H5134" s="27"/>
      <c r="K5134"/>
      <c r="P5134" s="27"/>
      <c r="Q5134" s="27"/>
      <c r="R5134" s="27"/>
    </row>
    <row r="5135" spans="1:18">
      <c r="A5135" s="28"/>
      <c r="B5135" s="29"/>
      <c r="C5135" s="29"/>
      <c r="D5135" s="29"/>
      <c r="E5135" s="29"/>
      <c r="H5135" s="27"/>
      <c r="K5135"/>
      <c r="P5135" s="27"/>
      <c r="Q5135" s="27"/>
      <c r="R5135" s="27"/>
    </row>
    <row r="5136" spans="1:18">
      <c r="A5136" s="28"/>
      <c r="B5136" s="29"/>
      <c r="C5136" s="29"/>
      <c r="D5136" s="29"/>
      <c r="E5136" s="29"/>
      <c r="H5136" s="27"/>
      <c r="K5136"/>
      <c r="P5136" s="27"/>
      <c r="Q5136" s="27"/>
      <c r="R5136" s="27"/>
    </row>
    <row r="5137" spans="1:18">
      <c r="A5137" s="28"/>
      <c r="B5137" s="29"/>
      <c r="C5137" s="29"/>
      <c r="D5137" s="29"/>
      <c r="E5137" s="29"/>
      <c r="H5137" s="27"/>
      <c r="K5137"/>
      <c r="P5137" s="27"/>
      <c r="Q5137" s="27"/>
      <c r="R5137" s="27"/>
    </row>
    <row r="5138" spans="1:18">
      <c r="A5138" s="28"/>
      <c r="B5138" s="29"/>
      <c r="C5138" s="29"/>
      <c r="D5138" s="29"/>
      <c r="E5138" s="29"/>
      <c r="H5138" s="27"/>
      <c r="K5138"/>
      <c r="P5138" s="27"/>
      <c r="Q5138" s="27"/>
      <c r="R5138" s="27"/>
    </row>
    <row r="5139" spans="1:18">
      <c r="A5139" s="28"/>
      <c r="B5139" s="29"/>
      <c r="C5139" s="29"/>
      <c r="D5139" s="29"/>
      <c r="E5139" s="29"/>
      <c r="H5139" s="27"/>
      <c r="K5139"/>
      <c r="P5139" s="27"/>
      <c r="Q5139" s="27"/>
      <c r="R5139" s="27"/>
    </row>
    <row r="5140" spans="1:18">
      <c r="A5140" s="28"/>
      <c r="B5140" s="29"/>
      <c r="C5140" s="29"/>
      <c r="D5140" s="29"/>
      <c r="E5140" s="29"/>
      <c r="H5140" s="27"/>
      <c r="K5140"/>
      <c r="P5140" s="27"/>
      <c r="Q5140" s="27"/>
      <c r="R5140" s="27"/>
    </row>
    <row r="5141" spans="1:18">
      <c r="A5141" s="28"/>
      <c r="B5141" s="29"/>
      <c r="C5141" s="29"/>
      <c r="D5141" s="29"/>
      <c r="E5141" s="29"/>
      <c r="H5141" s="27"/>
      <c r="K5141"/>
      <c r="P5141" s="27"/>
      <c r="Q5141" s="27"/>
      <c r="R5141" s="27"/>
    </row>
    <row r="5142" spans="1:18">
      <c r="A5142" s="28"/>
      <c r="B5142" s="29"/>
      <c r="C5142" s="29"/>
      <c r="D5142" s="29"/>
      <c r="E5142" s="29"/>
      <c r="H5142" s="27"/>
      <c r="K5142"/>
      <c r="P5142" s="27"/>
      <c r="Q5142" s="27"/>
      <c r="R5142" s="27"/>
    </row>
    <row r="5143" spans="1:18">
      <c r="A5143" s="28"/>
      <c r="B5143" s="29"/>
      <c r="C5143" s="29"/>
      <c r="D5143" s="29"/>
      <c r="E5143" s="29"/>
      <c r="H5143" s="27"/>
      <c r="K5143"/>
      <c r="P5143" s="27"/>
      <c r="Q5143" s="27"/>
      <c r="R5143" s="27"/>
    </row>
    <row r="5144" spans="1:18">
      <c r="A5144" s="28"/>
      <c r="B5144" s="29"/>
      <c r="C5144" s="29"/>
      <c r="D5144" s="29"/>
      <c r="E5144" s="29"/>
      <c r="H5144" s="27"/>
      <c r="K5144"/>
      <c r="P5144" s="27"/>
      <c r="Q5144" s="27"/>
      <c r="R5144" s="27"/>
    </row>
    <row r="5145" spans="1:18">
      <c r="A5145" s="28"/>
      <c r="B5145" s="29"/>
      <c r="C5145" s="29"/>
      <c r="D5145" s="29"/>
      <c r="E5145" s="29"/>
      <c r="H5145" s="27"/>
      <c r="K5145"/>
      <c r="P5145" s="27"/>
      <c r="Q5145" s="27"/>
      <c r="R5145" s="27"/>
    </row>
    <row r="5146" spans="1:18">
      <c r="A5146" s="28"/>
      <c r="B5146" s="29"/>
      <c r="C5146" s="29"/>
      <c r="D5146" s="29"/>
      <c r="E5146" s="29"/>
      <c r="H5146" s="27"/>
      <c r="K5146"/>
      <c r="P5146" s="27"/>
      <c r="Q5146" s="27"/>
      <c r="R5146" s="27"/>
    </row>
    <row r="5147" spans="1:18">
      <c r="A5147" s="28"/>
      <c r="B5147" s="29"/>
      <c r="C5147" s="29"/>
      <c r="D5147" s="29"/>
      <c r="E5147" s="29"/>
      <c r="H5147" s="27"/>
      <c r="K5147"/>
      <c r="P5147" s="27"/>
      <c r="Q5147" s="27"/>
      <c r="R5147" s="27"/>
    </row>
    <row r="5148" spans="1:18">
      <c r="A5148" s="28"/>
      <c r="B5148" s="29"/>
      <c r="C5148" s="29"/>
      <c r="D5148" s="29"/>
      <c r="E5148" s="29"/>
      <c r="H5148" s="27"/>
      <c r="K5148"/>
      <c r="P5148" s="27"/>
      <c r="Q5148" s="27"/>
      <c r="R5148" s="27"/>
    </row>
    <row r="5149" spans="1:18">
      <c r="A5149" s="28"/>
      <c r="B5149" s="29"/>
      <c r="C5149" s="29"/>
      <c r="D5149" s="29"/>
      <c r="E5149" s="29"/>
      <c r="H5149" s="27"/>
      <c r="K5149"/>
      <c r="P5149" s="27"/>
      <c r="Q5149" s="27"/>
      <c r="R5149" s="27"/>
    </row>
    <row r="5150" spans="1:18">
      <c r="A5150" s="28"/>
      <c r="B5150" s="29"/>
      <c r="C5150" s="29"/>
      <c r="D5150" s="29"/>
      <c r="E5150" s="29"/>
      <c r="H5150" s="27"/>
      <c r="K5150"/>
      <c r="P5150" s="27"/>
      <c r="Q5150" s="27"/>
      <c r="R5150" s="27"/>
    </row>
    <row r="5151" spans="1:18">
      <c r="A5151" s="28"/>
      <c r="B5151" s="29"/>
      <c r="C5151" s="29"/>
      <c r="D5151" s="29"/>
      <c r="E5151" s="29"/>
      <c r="H5151" s="27"/>
      <c r="K5151"/>
      <c r="P5151" s="27"/>
      <c r="Q5151" s="27"/>
      <c r="R5151" s="27"/>
    </row>
    <row r="5152" spans="1:18">
      <c r="A5152" s="28"/>
      <c r="B5152" s="29"/>
      <c r="C5152" s="29"/>
      <c r="D5152" s="29"/>
      <c r="E5152" s="29"/>
      <c r="H5152" s="27"/>
      <c r="K5152"/>
      <c r="P5152" s="27"/>
      <c r="Q5152" s="27"/>
      <c r="R5152" s="27"/>
    </row>
    <row r="5153" spans="1:18">
      <c r="A5153" s="28"/>
      <c r="B5153" s="29"/>
      <c r="C5153" s="29"/>
      <c r="D5153" s="29"/>
      <c r="E5153" s="29"/>
      <c r="H5153" s="27"/>
      <c r="K5153"/>
      <c r="P5153" s="27"/>
      <c r="Q5153" s="27"/>
      <c r="R5153" s="27"/>
    </row>
    <row r="5154" spans="1:18">
      <c r="A5154" s="28"/>
      <c r="B5154" s="29"/>
      <c r="C5154" s="29"/>
      <c r="D5154" s="29"/>
      <c r="E5154" s="29"/>
      <c r="H5154" s="27"/>
      <c r="K5154"/>
      <c r="P5154" s="27"/>
      <c r="Q5154" s="27"/>
      <c r="R5154" s="27"/>
    </row>
    <row r="5155" spans="1:18">
      <c r="A5155" s="28"/>
      <c r="B5155" s="29"/>
      <c r="C5155" s="29"/>
      <c r="D5155" s="29"/>
      <c r="E5155" s="29"/>
      <c r="H5155" s="27"/>
      <c r="K5155"/>
      <c r="P5155" s="27"/>
      <c r="Q5155" s="27"/>
      <c r="R5155" s="27"/>
    </row>
    <row r="5156" spans="1:18">
      <c r="A5156" s="28"/>
      <c r="B5156" s="29"/>
      <c r="C5156" s="29"/>
      <c r="D5156" s="29"/>
      <c r="E5156" s="29"/>
      <c r="H5156" s="27"/>
      <c r="K5156"/>
      <c r="P5156" s="27"/>
      <c r="Q5156" s="27"/>
      <c r="R5156" s="27"/>
    </row>
    <row r="5157" spans="1:18">
      <c r="A5157" s="28"/>
      <c r="B5157" s="29"/>
      <c r="C5157" s="29"/>
      <c r="D5157" s="29"/>
      <c r="E5157" s="29"/>
      <c r="H5157" s="27"/>
      <c r="K5157"/>
      <c r="P5157" s="27"/>
      <c r="Q5157" s="27"/>
      <c r="R5157" s="27"/>
    </row>
    <row r="5158" spans="1:18">
      <c r="A5158" s="28"/>
      <c r="B5158" s="29"/>
      <c r="C5158" s="29"/>
      <c r="D5158" s="29"/>
      <c r="E5158" s="29"/>
      <c r="H5158" s="27"/>
      <c r="K5158"/>
      <c r="P5158" s="27"/>
      <c r="Q5158" s="27"/>
      <c r="R5158" s="27"/>
    </row>
    <row r="5159" spans="1:18">
      <c r="A5159" s="28"/>
      <c r="B5159" s="29"/>
      <c r="C5159" s="29"/>
      <c r="D5159" s="29"/>
      <c r="E5159" s="29"/>
      <c r="H5159" s="27"/>
      <c r="K5159"/>
      <c r="P5159" s="27"/>
      <c r="Q5159" s="27"/>
      <c r="R5159" s="27"/>
    </row>
    <row r="5160" spans="1:18">
      <c r="A5160" s="28"/>
      <c r="B5160" s="29"/>
      <c r="C5160" s="29"/>
      <c r="D5160" s="29"/>
      <c r="E5160" s="29"/>
      <c r="H5160" s="27"/>
      <c r="K5160"/>
      <c r="P5160" s="27"/>
      <c r="Q5160" s="27"/>
      <c r="R5160" s="27"/>
    </row>
    <row r="5161" spans="1:18">
      <c r="A5161" s="28"/>
      <c r="B5161" s="29"/>
      <c r="C5161" s="29"/>
      <c r="D5161" s="29"/>
      <c r="E5161" s="29"/>
      <c r="H5161" s="27"/>
      <c r="K5161"/>
      <c r="P5161" s="27"/>
      <c r="Q5161" s="27"/>
      <c r="R5161" s="27"/>
    </row>
    <row r="5162" spans="1:18">
      <c r="A5162" s="28"/>
      <c r="B5162" s="29"/>
      <c r="C5162" s="29"/>
      <c r="D5162" s="29"/>
      <c r="E5162" s="29"/>
      <c r="H5162" s="27"/>
      <c r="K5162"/>
      <c r="P5162" s="27"/>
      <c r="Q5162" s="27"/>
      <c r="R5162" s="27"/>
    </row>
    <row r="5163" spans="1:18">
      <c r="A5163" s="28"/>
      <c r="B5163" s="29"/>
      <c r="C5163" s="29"/>
      <c r="D5163" s="29"/>
      <c r="E5163" s="29"/>
      <c r="H5163" s="27"/>
      <c r="K5163"/>
      <c r="P5163" s="27"/>
      <c r="Q5163" s="27"/>
      <c r="R5163" s="27"/>
    </row>
    <row r="5164" spans="1:18">
      <c r="A5164" s="28"/>
      <c r="B5164" s="29"/>
      <c r="C5164" s="29"/>
      <c r="D5164" s="29"/>
      <c r="E5164" s="29"/>
      <c r="H5164" s="27"/>
      <c r="K5164"/>
      <c r="P5164" s="27"/>
      <c r="Q5164" s="27"/>
      <c r="R5164" s="27"/>
    </row>
    <row r="5165" spans="1:18">
      <c r="A5165" s="28"/>
      <c r="B5165" s="29"/>
      <c r="C5165" s="29"/>
      <c r="D5165" s="29"/>
      <c r="E5165" s="29"/>
      <c r="H5165" s="27"/>
      <c r="K5165"/>
      <c r="P5165" s="27"/>
      <c r="Q5165" s="27"/>
      <c r="R5165" s="27"/>
    </row>
    <row r="5166" spans="1:18">
      <c r="A5166" s="28"/>
      <c r="B5166" s="29"/>
      <c r="C5166" s="29"/>
      <c r="D5166" s="29"/>
      <c r="E5166" s="29"/>
      <c r="H5166" s="27"/>
      <c r="K5166"/>
      <c r="P5166" s="27"/>
      <c r="Q5166" s="27"/>
      <c r="R5166" s="27"/>
    </row>
    <row r="5167" spans="1:18">
      <c r="A5167" s="28"/>
      <c r="B5167" s="29"/>
      <c r="C5167" s="29"/>
      <c r="D5167" s="29"/>
      <c r="E5167" s="29"/>
      <c r="H5167" s="27"/>
      <c r="K5167"/>
      <c r="P5167" s="27"/>
      <c r="Q5167" s="27"/>
      <c r="R5167" s="27"/>
    </row>
    <row r="5168" spans="1:18">
      <c r="A5168" s="28"/>
      <c r="B5168" s="29"/>
      <c r="C5168" s="29"/>
      <c r="D5168" s="29"/>
      <c r="E5168" s="29"/>
      <c r="H5168" s="27"/>
      <c r="K5168"/>
      <c r="P5168" s="27"/>
      <c r="Q5168" s="27"/>
      <c r="R5168" s="27"/>
    </row>
    <row r="5169" spans="1:18">
      <c r="A5169" s="28"/>
      <c r="B5169" s="29"/>
      <c r="C5169" s="29"/>
      <c r="D5169" s="29"/>
      <c r="E5169" s="29"/>
      <c r="H5169" s="27"/>
      <c r="K5169"/>
      <c r="P5169" s="27"/>
      <c r="Q5169" s="27"/>
      <c r="R5169" s="27"/>
    </row>
    <row r="5170" spans="1:18">
      <c r="A5170" s="28"/>
      <c r="B5170" s="29"/>
      <c r="C5170" s="29"/>
      <c r="D5170" s="29"/>
      <c r="E5170" s="29"/>
      <c r="H5170" s="27"/>
      <c r="K5170"/>
      <c r="P5170" s="27"/>
      <c r="Q5170" s="27"/>
      <c r="R5170" s="27"/>
    </row>
    <row r="5171" spans="1:18">
      <c r="A5171" s="28"/>
      <c r="B5171" s="29"/>
      <c r="C5171" s="29"/>
      <c r="D5171" s="29"/>
      <c r="E5171" s="29"/>
      <c r="H5171" s="27"/>
      <c r="K5171"/>
      <c r="P5171" s="27"/>
      <c r="Q5171" s="27"/>
      <c r="R5171" s="27"/>
    </row>
    <row r="5172" spans="1:18">
      <c r="A5172" s="28"/>
      <c r="B5172" s="29"/>
      <c r="C5172" s="29"/>
      <c r="D5172" s="29"/>
      <c r="E5172" s="29"/>
      <c r="H5172" s="27"/>
      <c r="K5172"/>
      <c r="P5172" s="27"/>
      <c r="Q5172" s="27"/>
      <c r="R5172" s="27"/>
    </row>
    <row r="5173" spans="1:18">
      <c r="A5173" s="28"/>
      <c r="B5173" s="29"/>
      <c r="C5173" s="29"/>
      <c r="D5173" s="29"/>
      <c r="E5173" s="29"/>
      <c r="H5173" s="27"/>
      <c r="K5173"/>
      <c r="P5173" s="27"/>
      <c r="Q5173" s="27"/>
      <c r="R5173" s="27"/>
    </row>
    <row r="5174" spans="1:18">
      <c r="A5174" s="28"/>
      <c r="B5174" s="29"/>
      <c r="C5174" s="29"/>
      <c r="D5174" s="29"/>
      <c r="E5174" s="29"/>
      <c r="H5174" s="27"/>
      <c r="K5174"/>
      <c r="P5174" s="27"/>
      <c r="Q5174" s="27"/>
      <c r="R5174" s="27"/>
    </row>
    <row r="5175" spans="1:18">
      <c r="A5175" s="28"/>
      <c r="B5175" s="29"/>
      <c r="C5175" s="29"/>
      <c r="D5175" s="29"/>
      <c r="E5175" s="29"/>
      <c r="H5175" s="27"/>
      <c r="K5175"/>
      <c r="P5175" s="27"/>
      <c r="Q5175" s="27"/>
      <c r="R5175" s="27"/>
    </row>
    <row r="5176" spans="1:18">
      <c r="A5176" s="28"/>
      <c r="B5176" s="29"/>
      <c r="C5176" s="29"/>
      <c r="D5176" s="29"/>
      <c r="E5176" s="29"/>
      <c r="H5176" s="27"/>
      <c r="K5176"/>
      <c r="P5176" s="27"/>
      <c r="Q5176" s="27"/>
      <c r="R5176" s="27"/>
    </row>
    <row r="5177" spans="1:18">
      <c r="A5177" s="28"/>
      <c r="B5177" s="29"/>
      <c r="C5177" s="29"/>
      <c r="D5177" s="29"/>
      <c r="E5177" s="29"/>
      <c r="H5177" s="27"/>
      <c r="K5177"/>
      <c r="P5177" s="27"/>
      <c r="Q5177" s="27"/>
      <c r="R5177" s="27"/>
    </row>
    <row r="5178" spans="1:18">
      <c r="A5178" s="28"/>
      <c r="B5178" s="29"/>
      <c r="C5178" s="29"/>
      <c r="D5178" s="29"/>
      <c r="E5178" s="29"/>
      <c r="H5178" s="27"/>
      <c r="K5178"/>
      <c r="P5178" s="27"/>
      <c r="Q5178" s="27"/>
      <c r="R5178" s="27"/>
    </row>
    <row r="5179" spans="1:18">
      <c r="A5179" s="28"/>
      <c r="B5179" s="29"/>
      <c r="C5179" s="29"/>
      <c r="D5179" s="29"/>
      <c r="E5179" s="29"/>
      <c r="H5179" s="27"/>
      <c r="K5179"/>
      <c r="P5179" s="27"/>
      <c r="Q5179" s="27"/>
      <c r="R5179" s="27"/>
    </row>
    <row r="5180" spans="1:18">
      <c r="A5180" s="28"/>
      <c r="B5180" s="29"/>
      <c r="C5180" s="29"/>
      <c r="D5180" s="29"/>
      <c r="E5180" s="29"/>
      <c r="H5180" s="27"/>
      <c r="K5180"/>
      <c r="P5180" s="27"/>
      <c r="Q5180" s="27"/>
      <c r="R5180" s="27"/>
    </row>
    <row r="5181" spans="1:18">
      <c r="A5181" s="28"/>
      <c r="B5181" s="29"/>
      <c r="C5181" s="29"/>
      <c r="D5181" s="29"/>
      <c r="E5181" s="29"/>
      <c r="H5181" s="27"/>
      <c r="K5181"/>
      <c r="P5181" s="27"/>
      <c r="Q5181" s="27"/>
      <c r="R5181" s="27"/>
    </row>
    <row r="5182" spans="1:18">
      <c r="A5182" s="28"/>
      <c r="B5182" s="29"/>
      <c r="C5182" s="29"/>
      <c r="D5182" s="29"/>
      <c r="E5182" s="29"/>
      <c r="H5182" s="27"/>
      <c r="K5182"/>
      <c r="P5182" s="27"/>
      <c r="Q5182" s="27"/>
      <c r="R5182" s="27"/>
    </row>
    <row r="5183" spans="1:18">
      <c r="A5183" s="28"/>
      <c r="B5183" s="29"/>
      <c r="C5183" s="29"/>
      <c r="D5183" s="29"/>
      <c r="E5183" s="29"/>
      <c r="H5183" s="27"/>
      <c r="K5183"/>
      <c r="P5183" s="27"/>
      <c r="Q5183" s="27"/>
      <c r="R5183" s="27"/>
    </row>
    <row r="5184" spans="1:18">
      <c r="A5184" s="28"/>
      <c r="B5184" s="29"/>
      <c r="C5184" s="29"/>
      <c r="D5184" s="29"/>
      <c r="E5184" s="29"/>
      <c r="H5184" s="27"/>
      <c r="K5184"/>
      <c r="P5184" s="27"/>
      <c r="Q5184" s="27"/>
      <c r="R5184" s="27"/>
    </row>
    <row r="5185" spans="1:18">
      <c r="A5185" s="28"/>
      <c r="B5185" s="29"/>
      <c r="C5185" s="29"/>
      <c r="D5185" s="29"/>
      <c r="E5185" s="29"/>
      <c r="H5185" s="27"/>
      <c r="K5185"/>
      <c r="P5185" s="27"/>
      <c r="Q5185" s="27"/>
      <c r="R5185" s="27"/>
    </row>
    <row r="5186" spans="1:18">
      <c r="A5186" s="28"/>
      <c r="B5186" s="29"/>
      <c r="C5186" s="29"/>
      <c r="D5186" s="29"/>
      <c r="E5186" s="29"/>
      <c r="H5186" s="27"/>
      <c r="K5186"/>
      <c r="P5186" s="27"/>
      <c r="Q5186" s="27"/>
      <c r="R5186" s="27"/>
    </row>
    <row r="5187" spans="1:18">
      <c r="A5187" s="28"/>
      <c r="B5187" s="29"/>
      <c r="C5187" s="29"/>
      <c r="D5187" s="29"/>
      <c r="E5187" s="29"/>
      <c r="H5187" s="27"/>
      <c r="K5187"/>
      <c r="P5187" s="27"/>
      <c r="Q5187" s="27"/>
      <c r="R5187" s="27"/>
    </row>
    <row r="5188" spans="1:18">
      <c r="A5188" s="28"/>
      <c r="B5188" s="29"/>
      <c r="C5188" s="29"/>
      <c r="D5188" s="29"/>
      <c r="E5188" s="29"/>
      <c r="H5188" s="27"/>
      <c r="K5188"/>
      <c r="P5188" s="27"/>
      <c r="Q5188" s="27"/>
      <c r="R5188" s="27"/>
    </row>
    <row r="5189" spans="1:18">
      <c r="A5189" s="28"/>
      <c r="B5189" s="29"/>
      <c r="C5189" s="29"/>
      <c r="D5189" s="29"/>
      <c r="E5189" s="29"/>
      <c r="H5189" s="27"/>
      <c r="K5189"/>
      <c r="P5189" s="27"/>
      <c r="Q5189" s="27"/>
      <c r="R5189" s="27"/>
    </row>
    <row r="5190" spans="1:18">
      <c r="A5190" s="28"/>
      <c r="B5190" s="29"/>
      <c r="C5190" s="29"/>
      <c r="D5190" s="29"/>
      <c r="E5190" s="29"/>
      <c r="H5190" s="27"/>
      <c r="K5190"/>
      <c r="P5190" s="27"/>
      <c r="Q5190" s="27"/>
      <c r="R5190" s="27"/>
    </row>
    <row r="5191" spans="1:18">
      <c r="A5191" s="28"/>
      <c r="B5191" s="29"/>
      <c r="C5191" s="29"/>
      <c r="D5191" s="29"/>
      <c r="E5191" s="29"/>
      <c r="H5191" s="27"/>
      <c r="K5191"/>
      <c r="P5191" s="27"/>
      <c r="Q5191" s="27"/>
      <c r="R5191" s="27"/>
    </row>
    <row r="5192" spans="1:18">
      <c r="A5192" s="28"/>
      <c r="B5192" s="29"/>
      <c r="C5192" s="29"/>
      <c r="D5192" s="29"/>
      <c r="E5192" s="29"/>
      <c r="H5192" s="27"/>
      <c r="K5192"/>
      <c r="P5192" s="27"/>
      <c r="Q5192" s="27"/>
      <c r="R5192" s="27"/>
    </row>
    <row r="5193" spans="1:18">
      <c r="A5193" s="28"/>
      <c r="B5193" s="29"/>
      <c r="C5193" s="29"/>
      <c r="D5193" s="29"/>
      <c r="E5193" s="29"/>
      <c r="H5193" s="27"/>
      <c r="K5193"/>
      <c r="P5193" s="27"/>
      <c r="Q5193" s="27"/>
      <c r="R5193" s="27"/>
    </row>
    <row r="5194" spans="1:18">
      <c r="A5194" s="28"/>
      <c r="B5194" s="29"/>
      <c r="C5194" s="29"/>
      <c r="D5194" s="29"/>
      <c r="E5194" s="29"/>
      <c r="H5194" s="27"/>
      <c r="K5194"/>
      <c r="P5194" s="27"/>
      <c r="Q5194" s="27"/>
      <c r="R5194" s="27"/>
    </row>
    <row r="5195" spans="1:18">
      <c r="A5195" s="28"/>
      <c r="B5195" s="29"/>
      <c r="C5195" s="29"/>
      <c r="D5195" s="29"/>
      <c r="E5195" s="29"/>
      <c r="H5195" s="27"/>
      <c r="K5195"/>
      <c r="P5195" s="27"/>
      <c r="Q5195" s="27"/>
      <c r="R5195" s="27"/>
    </row>
    <row r="5196" spans="1:18">
      <c r="A5196" s="28"/>
      <c r="B5196" s="29"/>
      <c r="C5196" s="29"/>
      <c r="D5196" s="29"/>
      <c r="E5196" s="29"/>
      <c r="H5196" s="27"/>
      <c r="K5196"/>
      <c r="P5196" s="27"/>
      <c r="Q5196" s="27"/>
      <c r="R5196" s="27"/>
    </row>
    <row r="5197" spans="1:18">
      <c r="A5197" s="28"/>
      <c r="B5197" s="29"/>
      <c r="C5197" s="29"/>
      <c r="D5197" s="29"/>
      <c r="E5197" s="29"/>
      <c r="H5197" s="27"/>
      <c r="K5197"/>
      <c r="P5197" s="27"/>
      <c r="Q5197" s="27"/>
      <c r="R5197" s="27"/>
    </row>
    <row r="5198" spans="1:18">
      <c r="A5198" s="28"/>
      <c r="B5198" s="29"/>
      <c r="C5198" s="29"/>
      <c r="D5198" s="29"/>
      <c r="E5198" s="29"/>
      <c r="H5198" s="27"/>
      <c r="K5198"/>
      <c r="P5198" s="27"/>
      <c r="Q5198" s="27"/>
      <c r="R5198" s="27"/>
    </row>
    <row r="5199" spans="1:18">
      <c r="A5199" s="28"/>
      <c r="B5199" s="29"/>
      <c r="C5199" s="29"/>
      <c r="D5199" s="29"/>
      <c r="E5199" s="29"/>
      <c r="H5199" s="27"/>
      <c r="K5199"/>
      <c r="P5199" s="27"/>
      <c r="Q5199" s="27"/>
      <c r="R5199" s="27"/>
    </row>
    <row r="5200" spans="1:18">
      <c r="A5200" s="28"/>
      <c r="B5200" s="29"/>
      <c r="C5200" s="29"/>
      <c r="D5200" s="29"/>
      <c r="E5200" s="29"/>
      <c r="H5200" s="27"/>
      <c r="K5200"/>
      <c r="P5200" s="27"/>
      <c r="Q5200" s="27"/>
      <c r="R5200" s="27"/>
    </row>
    <row r="5201" spans="1:18">
      <c r="A5201" s="28"/>
      <c r="B5201" s="29"/>
      <c r="C5201" s="29"/>
      <c r="D5201" s="29"/>
      <c r="E5201" s="29"/>
      <c r="H5201" s="27"/>
      <c r="K5201"/>
      <c r="P5201" s="27"/>
      <c r="Q5201" s="27"/>
      <c r="R5201" s="27"/>
    </row>
    <row r="5202" spans="1:18">
      <c r="A5202" s="28"/>
      <c r="B5202" s="29"/>
      <c r="C5202" s="29"/>
      <c r="D5202" s="29"/>
      <c r="E5202" s="29"/>
      <c r="H5202" s="27"/>
      <c r="K5202"/>
      <c r="P5202" s="27"/>
      <c r="Q5202" s="27"/>
      <c r="R5202" s="27"/>
    </row>
    <row r="5203" spans="1:18">
      <c r="A5203" s="28"/>
      <c r="B5203" s="29"/>
      <c r="C5203" s="29"/>
      <c r="D5203" s="29"/>
      <c r="E5203" s="29"/>
      <c r="H5203" s="27"/>
      <c r="K5203"/>
      <c r="P5203" s="27"/>
      <c r="Q5203" s="27"/>
      <c r="R5203" s="27"/>
    </row>
    <row r="5204" spans="1:18">
      <c r="A5204" s="28"/>
      <c r="B5204" s="29"/>
      <c r="C5204" s="29"/>
      <c r="D5204" s="29"/>
      <c r="E5204" s="29"/>
      <c r="H5204" s="27"/>
      <c r="K5204"/>
      <c r="P5204" s="27"/>
      <c r="Q5204" s="27"/>
      <c r="R5204" s="27"/>
    </row>
    <row r="5205" spans="1:18">
      <c r="A5205" s="28"/>
      <c r="B5205" s="29"/>
      <c r="C5205" s="29"/>
      <c r="D5205" s="29"/>
      <c r="E5205" s="29"/>
      <c r="H5205" s="27"/>
      <c r="K5205"/>
      <c r="P5205" s="27"/>
      <c r="Q5205" s="27"/>
      <c r="R5205" s="27"/>
    </row>
    <row r="5206" spans="1:18">
      <c r="A5206" s="28"/>
      <c r="B5206" s="29"/>
      <c r="C5206" s="29"/>
      <c r="D5206" s="29"/>
      <c r="E5206" s="29"/>
      <c r="H5206" s="27"/>
      <c r="K5206"/>
      <c r="P5206" s="27"/>
      <c r="Q5206" s="27"/>
      <c r="R5206" s="27"/>
    </row>
    <row r="5207" spans="1:18">
      <c r="A5207" s="28"/>
      <c r="B5207" s="29"/>
      <c r="C5207" s="29"/>
      <c r="D5207" s="29"/>
      <c r="E5207" s="29"/>
      <c r="H5207" s="27"/>
      <c r="K5207"/>
      <c r="P5207" s="27"/>
      <c r="Q5207" s="27"/>
      <c r="R5207" s="27"/>
    </row>
    <row r="5208" spans="1:18">
      <c r="A5208" s="28"/>
      <c r="B5208" s="29"/>
      <c r="C5208" s="29"/>
      <c r="D5208" s="29"/>
      <c r="E5208" s="29"/>
      <c r="H5208" s="27"/>
      <c r="K5208"/>
      <c r="P5208" s="27"/>
      <c r="Q5208" s="27"/>
      <c r="R5208" s="27"/>
    </row>
    <row r="5209" spans="1:18">
      <c r="A5209" s="28"/>
      <c r="B5209" s="29"/>
      <c r="C5209" s="29"/>
      <c r="D5209" s="29"/>
      <c r="E5209" s="29"/>
      <c r="H5209" s="27"/>
      <c r="K5209"/>
      <c r="P5209" s="27"/>
      <c r="Q5209" s="27"/>
      <c r="R5209" s="27"/>
    </row>
    <row r="5210" spans="1:18">
      <c r="A5210" s="28"/>
      <c r="B5210" s="29"/>
      <c r="C5210" s="29"/>
      <c r="D5210" s="29"/>
      <c r="E5210" s="29"/>
      <c r="H5210" s="27"/>
      <c r="K5210"/>
      <c r="P5210" s="27"/>
      <c r="Q5210" s="27"/>
      <c r="R5210" s="27"/>
    </row>
    <row r="5211" spans="1:18">
      <c r="A5211" s="28"/>
      <c r="B5211" s="29"/>
      <c r="C5211" s="29"/>
      <c r="D5211" s="29"/>
      <c r="E5211" s="29"/>
      <c r="H5211" s="27"/>
      <c r="K5211"/>
      <c r="P5211" s="27"/>
      <c r="Q5211" s="27"/>
      <c r="R5211" s="27"/>
    </row>
    <row r="5212" spans="1:18">
      <c r="A5212" s="28"/>
      <c r="B5212" s="29"/>
      <c r="C5212" s="29"/>
      <c r="D5212" s="29"/>
      <c r="E5212" s="29"/>
      <c r="H5212" s="27"/>
      <c r="K5212"/>
      <c r="P5212" s="27"/>
      <c r="Q5212" s="27"/>
      <c r="R5212" s="27"/>
    </row>
    <row r="5213" spans="1:18">
      <c r="A5213" s="28"/>
      <c r="B5213" s="29"/>
      <c r="C5213" s="29"/>
      <c r="D5213" s="29"/>
      <c r="E5213" s="29"/>
      <c r="H5213" s="27"/>
      <c r="K5213"/>
      <c r="P5213" s="27"/>
      <c r="Q5213" s="27"/>
      <c r="R5213" s="27"/>
    </row>
    <row r="5214" spans="1:18">
      <c r="A5214" s="28"/>
      <c r="B5214" s="29"/>
      <c r="C5214" s="29"/>
      <c r="D5214" s="29"/>
      <c r="E5214" s="29"/>
      <c r="H5214" s="27"/>
      <c r="K5214"/>
      <c r="P5214" s="27"/>
      <c r="Q5214" s="27"/>
      <c r="R5214" s="27"/>
    </row>
    <row r="5215" spans="1:18">
      <c r="A5215" s="28"/>
      <c r="B5215" s="29"/>
      <c r="C5215" s="29"/>
      <c r="D5215" s="29"/>
      <c r="E5215" s="29"/>
      <c r="H5215" s="27"/>
      <c r="K5215"/>
      <c r="P5215" s="27"/>
      <c r="Q5215" s="27"/>
      <c r="R5215" s="27"/>
    </row>
    <row r="5216" spans="1:18">
      <c r="A5216" s="28"/>
      <c r="B5216" s="29"/>
      <c r="C5216" s="29"/>
      <c r="D5216" s="29"/>
      <c r="E5216" s="29"/>
      <c r="H5216" s="27"/>
      <c r="K5216"/>
      <c r="P5216" s="27"/>
      <c r="Q5216" s="27"/>
      <c r="R5216" s="27"/>
    </row>
    <row r="5217" spans="1:18">
      <c r="A5217" s="28"/>
      <c r="B5217" s="29"/>
      <c r="C5217" s="29"/>
      <c r="D5217" s="29"/>
      <c r="E5217" s="29"/>
      <c r="H5217" s="27"/>
      <c r="K5217"/>
      <c r="P5217" s="27"/>
      <c r="Q5217" s="27"/>
      <c r="R5217" s="27"/>
    </row>
    <row r="5218" spans="1:18">
      <c r="A5218" s="28"/>
      <c r="B5218" s="29"/>
      <c r="C5218" s="29"/>
      <c r="D5218" s="29"/>
      <c r="E5218" s="29"/>
      <c r="H5218" s="27"/>
      <c r="K5218"/>
      <c r="P5218" s="27"/>
      <c r="Q5218" s="27"/>
      <c r="R5218" s="27"/>
    </row>
    <row r="5219" spans="1:18">
      <c r="A5219" s="28"/>
      <c r="B5219" s="29"/>
      <c r="C5219" s="29"/>
      <c r="D5219" s="29"/>
      <c r="E5219" s="29"/>
      <c r="H5219" s="27"/>
      <c r="K5219"/>
      <c r="P5219" s="27"/>
      <c r="Q5219" s="27"/>
      <c r="R5219" s="27"/>
    </row>
    <row r="5220" spans="1:18">
      <c r="A5220" s="28"/>
      <c r="B5220" s="29"/>
      <c r="C5220" s="29"/>
      <c r="D5220" s="29"/>
      <c r="E5220" s="29"/>
      <c r="H5220" s="27"/>
      <c r="K5220"/>
      <c r="P5220" s="27"/>
      <c r="Q5220" s="27"/>
      <c r="R5220" s="27"/>
    </row>
    <row r="5221" spans="1:18">
      <c r="A5221" s="28"/>
      <c r="B5221" s="29"/>
      <c r="C5221" s="29"/>
      <c r="D5221" s="29"/>
      <c r="E5221" s="29"/>
      <c r="H5221" s="27"/>
      <c r="K5221"/>
      <c r="P5221" s="27"/>
      <c r="Q5221" s="27"/>
      <c r="R5221" s="27"/>
    </row>
    <row r="5222" spans="1:18">
      <c r="A5222" s="28"/>
      <c r="B5222" s="29"/>
      <c r="C5222" s="29"/>
      <c r="D5222" s="29"/>
      <c r="E5222" s="29"/>
      <c r="H5222" s="27"/>
      <c r="K5222"/>
      <c r="P5222" s="27"/>
      <c r="Q5222" s="27"/>
      <c r="R5222" s="27"/>
    </row>
    <row r="5223" spans="1:18">
      <c r="A5223" s="28"/>
      <c r="B5223" s="29"/>
      <c r="C5223" s="29"/>
      <c r="D5223" s="29"/>
      <c r="E5223" s="29"/>
      <c r="H5223" s="27"/>
      <c r="K5223"/>
      <c r="P5223" s="27"/>
      <c r="Q5223" s="27"/>
      <c r="R5223" s="27"/>
    </row>
    <row r="5224" spans="1:18">
      <c r="A5224" s="28"/>
      <c r="B5224" s="29"/>
      <c r="C5224" s="29"/>
      <c r="D5224" s="29"/>
      <c r="E5224" s="29"/>
      <c r="H5224" s="27"/>
      <c r="K5224"/>
      <c r="P5224" s="27"/>
      <c r="Q5224" s="27"/>
      <c r="R5224" s="27"/>
    </row>
    <row r="5225" spans="1:18">
      <c r="A5225" s="28"/>
      <c r="B5225" s="29"/>
      <c r="C5225" s="29"/>
      <c r="D5225" s="29"/>
      <c r="E5225" s="29"/>
      <c r="H5225" s="27"/>
      <c r="K5225"/>
      <c r="P5225" s="27"/>
      <c r="Q5225" s="27"/>
      <c r="R5225" s="27"/>
    </row>
    <row r="5226" spans="1:18">
      <c r="A5226" s="28"/>
      <c r="B5226" s="29"/>
      <c r="C5226" s="29"/>
      <c r="D5226" s="29"/>
      <c r="E5226" s="29"/>
      <c r="H5226" s="27"/>
      <c r="K5226"/>
      <c r="P5226" s="27"/>
      <c r="Q5226" s="27"/>
      <c r="R5226" s="27"/>
    </row>
    <row r="5227" spans="1:18">
      <c r="A5227" s="28"/>
      <c r="B5227" s="29"/>
      <c r="C5227" s="29"/>
      <c r="D5227" s="29"/>
      <c r="E5227" s="29"/>
      <c r="H5227" s="27"/>
      <c r="K5227"/>
      <c r="P5227" s="27"/>
      <c r="Q5227" s="27"/>
      <c r="R5227" s="27"/>
    </row>
    <row r="5228" spans="1:18">
      <c r="A5228" s="28"/>
      <c r="B5228" s="29"/>
      <c r="C5228" s="29"/>
      <c r="D5228" s="29"/>
      <c r="E5228" s="29"/>
      <c r="H5228" s="27"/>
      <c r="K5228"/>
      <c r="P5228" s="27"/>
      <c r="Q5228" s="27"/>
      <c r="R5228" s="27"/>
    </row>
    <row r="5229" spans="1:18">
      <c r="A5229" s="28"/>
      <c r="B5229" s="29"/>
      <c r="C5229" s="29"/>
      <c r="D5229" s="29"/>
      <c r="E5229" s="29"/>
      <c r="H5229" s="27"/>
      <c r="K5229"/>
      <c r="P5229" s="27"/>
      <c r="Q5229" s="27"/>
      <c r="R5229" s="27"/>
    </row>
    <row r="5230" spans="1:18">
      <c r="A5230" s="28"/>
      <c r="B5230" s="29"/>
      <c r="C5230" s="29"/>
      <c r="D5230" s="29"/>
      <c r="E5230" s="29"/>
      <c r="H5230" s="27"/>
      <c r="K5230"/>
      <c r="P5230" s="27"/>
      <c r="Q5230" s="27"/>
      <c r="R5230" s="27"/>
    </row>
    <row r="5231" spans="1:18">
      <c r="A5231" s="28"/>
      <c r="B5231" s="29"/>
      <c r="C5231" s="29"/>
      <c r="D5231" s="29"/>
      <c r="E5231" s="29"/>
      <c r="H5231" s="27"/>
      <c r="K5231"/>
      <c r="P5231" s="27"/>
      <c r="Q5231" s="27"/>
      <c r="R5231" s="27"/>
    </row>
    <row r="5232" spans="1:18">
      <c r="A5232" s="28"/>
      <c r="B5232" s="29"/>
      <c r="C5232" s="29"/>
      <c r="D5232" s="29"/>
      <c r="E5232" s="29"/>
      <c r="H5232" s="27"/>
      <c r="K5232"/>
      <c r="P5232" s="27"/>
      <c r="Q5232" s="27"/>
      <c r="R5232" s="27"/>
    </row>
    <row r="5233" spans="1:18">
      <c r="A5233" s="28"/>
      <c r="B5233" s="29"/>
      <c r="C5233" s="29"/>
      <c r="D5233" s="29"/>
      <c r="E5233" s="29"/>
      <c r="H5233" s="27"/>
      <c r="K5233"/>
      <c r="P5233" s="27"/>
      <c r="Q5233" s="27"/>
      <c r="R5233" s="27"/>
    </row>
    <row r="5234" spans="1:18">
      <c r="A5234" s="28"/>
      <c r="B5234" s="29"/>
      <c r="C5234" s="29"/>
      <c r="D5234" s="29"/>
      <c r="E5234" s="29"/>
      <c r="H5234" s="27"/>
      <c r="K5234"/>
      <c r="P5234" s="27"/>
      <c r="Q5234" s="27"/>
      <c r="R5234" s="27"/>
    </row>
    <row r="5235" spans="1:18">
      <c r="A5235" s="28"/>
      <c r="B5235" s="29"/>
      <c r="C5235" s="29"/>
      <c r="D5235" s="29"/>
      <c r="E5235" s="29"/>
      <c r="H5235" s="27"/>
      <c r="K5235"/>
      <c r="P5235" s="27"/>
      <c r="Q5235" s="27"/>
      <c r="R5235" s="27"/>
    </row>
    <row r="5236" spans="1:18">
      <c r="A5236" s="28"/>
      <c r="B5236" s="29"/>
      <c r="C5236" s="29"/>
      <c r="D5236" s="29"/>
      <c r="E5236" s="29"/>
      <c r="H5236" s="27"/>
      <c r="K5236"/>
      <c r="P5236" s="27"/>
      <c r="Q5236" s="27"/>
      <c r="R5236" s="27"/>
    </row>
    <row r="5237" spans="1:18">
      <c r="A5237" s="28"/>
      <c r="B5237" s="29"/>
      <c r="C5237" s="29"/>
      <c r="D5237" s="29"/>
      <c r="E5237" s="29"/>
      <c r="H5237" s="27"/>
      <c r="K5237"/>
      <c r="P5237" s="27"/>
      <c r="Q5237" s="27"/>
      <c r="R5237" s="27"/>
    </row>
    <row r="5238" spans="1:18">
      <c r="A5238" s="28"/>
      <c r="B5238" s="29"/>
      <c r="C5238" s="29"/>
      <c r="D5238" s="29"/>
      <c r="E5238" s="29"/>
      <c r="H5238" s="27"/>
      <c r="K5238"/>
      <c r="P5238" s="27"/>
      <c r="Q5238" s="27"/>
      <c r="R5238" s="27"/>
    </row>
    <row r="5239" spans="1:18">
      <c r="A5239" s="28"/>
      <c r="B5239" s="29"/>
      <c r="C5239" s="29"/>
      <c r="D5239" s="29"/>
      <c r="E5239" s="29"/>
      <c r="H5239" s="27"/>
      <c r="K5239"/>
      <c r="P5239" s="27"/>
      <c r="Q5239" s="27"/>
      <c r="R5239" s="27"/>
    </row>
    <row r="5240" spans="1:18">
      <c r="A5240" s="28"/>
      <c r="B5240" s="29"/>
      <c r="C5240" s="29"/>
      <c r="D5240" s="29"/>
      <c r="E5240" s="29"/>
      <c r="H5240" s="27"/>
      <c r="K5240"/>
      <c r="P5240" s="27"/>
      <c r="Q5240" s="27"/>
      <c r="R5240" s="27"/>
    </row>
    <row r="5241" spans="1:18">
      <c r="A5241" s="28"/>
      <c r="B5241" s="29"/>
      <c r="C5241" s="29"/>
      <c r="D5241" s="29"/>
      <c r="E5241" s="29"/>
      <c r="H5241" s="27"/>
      <c r="K5241"/>
      <c r="P5241" s="27"/>
      <c r="Q5241" s="27"/>
      <c r="R5241" s="27"/>
    </row>
    <row r="5242" spans="1:18">
      <c r="A5242" s="28"/>
      <c r="B5242" s="29"/>
      <c r="C5242" s="29"/>
      <c r="D5242" s="29"/>
      <c r="E5242" s="29"/>
      <c r="H5242" s="27"/>
      <c r="K5242"/>
      <c r="P5242" s="27"/>
      <c r="Q5242" s="27"/>
      <c r="R5242" s="27"/>
    </row>
    <row r="5243" spans="1:18">
      <c r="A5243" s="28"/>
      <c r="B5243" s="29"/>
      <c r="C5243" s="29"/>
      <c r="D5243" s="29"/>
      <c r="E5243" s="29"/>
      <c r="H5243" s="27"/>
      <c r="K5243"/>
      <c r="P5243" s="27"/>
      <c r="Q5243" s="27"/>
      <c r="R5243" s="27"/>
    </row>
    <row r="5244" spans="1:18">
      <c r="A5244" s="28"/>
      <c r="B5244" s="29"/>
      <c r="C5244" s="29"/>
      <c r="D5244" s="29"/>
      <c r="E5244" s="29"/>
      <c r="H5244" s="27"/>
      <c r="K5244"/>
      <c r="P5244" s="27"/>
      <c r="Q5244" s="27"/>
      <c r="R5244" s="27"/>
    </row>
    <row r="5245" spans="1:18">
      <c r="A5245" s="28"/>
      <c r="B5245" s="29"/>
      <c r="C5245" s="29"/>
      <c r="D5245" s="29"/>
      <c r="E5245" s="29"/>
      <c r="H5245" s="27"/>
      <c r="K5245"/>
      <c r="P5245" s="27"/>
      <c r="Q5245" s="27"/>
      <c r="R5245" s="27"/>
    </row>
    <row r="5246" spans="1:18">
      <c r="A5246" s="28"/>
      <c r="B5246" s="29"/>
      <c r="C5246" s="29"/>
      <c r="D5246" s="29"/>
      <c r="E5246" s="29"/>
      <c r="H5246" s="27"/>
      <c r="K5246"/>
      <c r="P5246" s="27"/>
      <c r="Q5246" s="27"/>
      <c r="R5246" s="27"/>
    </row>
    <row r="5247" spans="1:18">
      <c r="A5247" s="28"/>
      <c r="B5247" s="29"/>
      <c r="C5247" s="29"/>
      <c r="D5247" s="29"/>
      <c r="E5247" s="29"/>
      <c r="H5247" s="27"/>
      <c r="K5247"/>
      <c r="P5247" s="27"/>
      <c r="Q5247" s="27"/>
      <c r="R5247" s="27"/>
    </row>
    <row r="5248" spans="1:18">
      <c r="A5248" s="28"/>
      <c r="B5248" s="29"/>
      <c r="C5248" s="29"/>
      <c r="D5248" s="29"/>
      <c r="E5248" s="29"/>
      <c r="H5248" s="27"/>
      <c r="K5248"/>
      <c r="P5248" s="27"/>
      <c r="Q5248" s="27"/>
      <c r="R5248" s="27"/>
    </row>
    <row r="5249" spans="1:18">
      <c r="A5249" s="28"/>
      <c r="B5249" s="29"/>
      <c r="C5249" s="29"/>
      <c r="D5249" s="29"/>
      <c r="E5249" s="29"/>
      <c r="H5249" s="27"/>
      <c r="K5249"/>
      <c r="P5249" s="27"/>
      <c r="Q5249" s="27"/>
      <c r="R5249" s="27"/>
    </row>
    <row r="5250" spans="1:18">
      <c r="A5250" s="28"/>
      <c r="B5250" s="29"/>
      <c r="C5250" s="29"/>
      <c r="D5250" s="29"/>
      <c r="E5250" s="29"/>
      <c r="H5250" s="27"/>
      <c r="K5250"/>
      <c r="P5250" s="27"/>
      <c r="Q5250" s="27"/>
      <c r="R5250" s="27"/>
    </row>
    <row r="5251" spans="1:18">
      <c r="A5251" s="28"/>
      <c r="B5251" s="29"/>
      <c r="C5251" s="29"/>
      <c r="D5251" s="29"/>
      <c r="E5251" s="29"/>
      <c r="H5251" s="27"/>
      <c r="K5251"/>
      <c r="P5251" s="27"/>
      <c r="Q5251" s="27"/>
      <c r="R5251" s="27"/>
    </row>
    <row r="5252" spans="1:18">
      <c r="A5252" s="28"/>
      <c r="B5252" s="29"/>
      <c r="C5252" s="29"/>
      <c r="D5252" s="29"/>
      <c r="E5252" s="29"/>
      <c r="H5252" s="27"/>
      <c r="K5252"/>
      <c r="P5252" s="27"/>
      <c r="Q5252" s="27"/>
      <c r="R5252" s="27"/>
    </row>
    <row r="5253" spans="1:18">
      <c r="A5253" s="28"/>
      <c r="B5253" s="29"/>
      <c r="C5253" s="29"/>
      <c r="D5253" s="29"/>
      <c r="E5253" s="29"/>
      <c r="H5253" s="27"/>
      <c r="K5253"/>
      <c r="P5253" s="27"/>
      <c r="Q5253" s="27"/>
      <c r="R5253" s="27"/>
    </row>
    <row r="5254" spans="1:18">
      <c r="A5254" s="28"/>
      <c r="B5254" s="29"/>
      <c r="C5254" s="29"/>
      <c r="D5254" s="29"/>
      <c r="E5254" s="29"/>
      <c r="H5254" s="27"/>
      <c r="K5254"/>
      <c r="P5254" s="27"/>
      <c r="Q5254" s="27"/>
      <c r="R5254" s="27"/>
    </row>
    <row r="5255" spans="1:18">
      <c r="A5255" s="28"/>
      <c r="B5255" s="29"/>
      <c r="C5255" s="29"/>
      <c r="D5255" s="29"/>
      <c r="E5255" s="29"/>
      <c r="H5255" s="27"/>
      <c r="K5255"/>
      <c r="P5255" s="27"/>
      <c r="Q5255" s="27"/>
      <c r="R5255" s="27"/>
    </row>
    <row r="5256" spans="1:18">
      <c r="A5256" s="28"/>
      <c r="B5256" s="29"/>
      <c r="C5256" s="29"/>
      <c r="D5256" s="29"/>
      <c r="E5256" s="29"/>
      <c r="H5256" s="27"/>
      <c r="K5256"/>
      <c r="P5256" s="27"/>
      <c r="Q5256" s="27"/>
      <c r="R5256" s="27"/>
    </row>
    <row r="5257" spans="1:18">
      <c r="A5257" s="28"/>
      <c r="B5257" s="29"/>
      <c r="C5257" s="29"/>
      <c r="D5257" s="29"/>
      <c r="E5257" s="29"/>
      <c r="H5257" s="27"/>
      <c r="K5257"/>
      <c r="P5257" s="27"/>
      <c r="Q5257" s="27"/>
      <c r="R5257" s="27"/>
    </row>
    <row r="5258" spans="1:18">
      <c r="A5258" s="28"/>
      <c r="B5258" s="29"/>
      <c r="C5258" s="29"/>
      <c r="D5258" s="29"/>
      <c r="E5258" s="29"/>
      <c r="H5258" s="27"/>
      <c r="K5258"/>
      <c r="P5258" s="27"/>
      <c r="Q5258" s="27"/>
      <c r="R5258" s="27"/>
    </row>
    <row r="5259" spans="1:18">
      <c r="A5259" s="28"/>
      <c r="B5259" s="29"/>
      <c r="C5259" s="29"/>
      <c r="D5259" s="29"/>
      <c r="E5259" s="29"/>
      <c r="H5259" s="27"/>
      <c r="K5259"/>
      <c r="P5259" s="27"/>
      <c r="Q5259" s="27"/>
      <c r="R5259" s="27"/>
    </row>
    <row r="5260" spans="1:18">
      <c r="A5260" s="28"/>
      <c r="B5260" s="29"/>
      <c r="C5260" s="29"/>
      <c r="D5260" s="29"/>
      <c r="E5260" s="29"/>
      <c r="H5260" s="27"/>
      <c r="K5260"/>
      <c r="P5260" s="27"/>
      <c r="Q5260" s="27"/>
      <c r="R5260" s="27"/>
    </row>
    <row r="5261" spans="1:18">
      <c r="A5261" s="28"/>
      <c r="B5261" s="29"/>
      <c r="C5261" s="29"/>
      <c r="D5261" s="29"/>
      <c r="E5261" s="29"/>
      <c r="H5261" s="27"/>
      <c r="K5261"/>
      <c r="P5261" s="27"/>
      <c r="Q5261" s="27"/>
      <c r="R5261" s="27"/>
    </row>
    <row r="5262" spans="1:18">
      <c r="A5262" s="28"/>
      <c r="B5262" s="29"/>
      <c r="C5262" s="29"/>
      <c r="D5262" s="29"/>
      <c r="E5262" s="29"/>
      <c r="H5262" s="27"/>
      <c r="K5262"/>
      <c r="P5262" s="27"/>
      <c r="Q5262" s="27"/>
      <c r="R5262" s="27"/>
    </row>
    <row r="5263" spans="1:18">
      <c r="A5263" s="28"/>
      <c r="B5263" s="29"/>
      <c r="C5263" s="29"/>
      <c r="D5263" s="29"/>
      <c r="E5263" s="29"/>
      <c r="H5263" s="27"/>
      <c r="K5263"/>
      <c r="P5263" s="27"/>
      <c r="Q5263" s="27"/>
      <c r="R5263" s="27"/>
    </row>
    <row r="5264" spans="1:18">
      <c r="A5264" s="28"/>
      <c r="B5264" s="29"/>
      <c r="C5264" s="29"/>
      <c r="D5264" s="29"/>
      <c r="E5264" s="29"/>
      <c r="H5264" s="27"/>
      <c r="K5264"/>
      <c r="P5264" s="27"/>
      <c r="Q5264" s="27"/>
      <c r="R5264" s="27"/>
    </row>
    <row r="5265" spans="1:18">
      <c r="A5265" s="28"/>
      <c r="B5265" s="29"/>
      <c r="C5265" s="29"/>
      <c r="D5265" s="29"/>
      <c r="E5265" s="29"/>
      <c r="H5265" s="27"/>
      <c r="K5265"/>
      <c r="P5265" s="27"/>
      <c r="Q5265" s="27"/>
      <c r="R5265" s="27"/>
    </row>
    <row r="5266" spans="1:18">
      <c r="A5266" s="28"/>
      <c r="B5266" s="29"/>
      <c r="C5266" s="29"/>
      <c r="D5266" s="29"/>
      <c r="E5266" s="29"/>
      <c r="H5266" s="27"/>
      <c r="K5266"/>
      <c r="P5266" s="27"/>
      <c r="Q5266" s="27"/>
      <c r="R5266" s="27"/>
    </row>
    <row r="5267" spans="1:18">
      <c r="A5267" s="28"/>
      <c r="B5267" s="29"/>
      <c r="C5267" s="29"/>
      <c r="D5267" s="29"/>
      <c r="E5267" s="29"/>
      <c r="H5267" s="27"/>
      <c r="K5267"/>
      <c r="P5267" s="27"/>
      <c r="Q5267" s="27"/>
      <c r="R5267" s="27"/>
    </row>
    <row r="5268" spans="1:18">
      <c r="A5268" s="28"/>
      <c r="B5268" s="29"/>
      <c r="C5268" s="29"/>
      <c r="D5268" s="29"/>
      <c r="E5268" s="29"/>
      <c r="H5268" s="27"/>
      <c r="K5268"/>
      <c r="P5268" s="27"/>
      <c r="Q5268" s="27"/>
      <c r="R5268" s="27"/>
    </row>
    <row r="5269" spans="1:18">
      <c r="A5269" s="28"/>
      <c r="B5269" s="29"/>
      <c r="C5269" s="29"/>
      <c r="D5269" s="29"/>
      <c r="E5269" s="29"/>
      <c r="H5269" s="27"/>
      <c r="K5269"/>
      <c r="P5269" s="27"/>
      <c r="Q5269" s="27"/>
      <c r="R5269" s="27"/>
    </row>
    <row r="5270" spans="1:18">
      <c r="A5270" s="28"/>
      <c r="B5270" s="29"/>
      <c r="C5270" s="29"/>
      <c r="D5270" s="29"/>
      <c r="E5270" s="29"/>
      <c r="H5270" s="27"/>
      <c r="K5270"/>
      <c r="P5270" s="27"/>
      <c r="Q5270" s="27"/>
      <c r="R5270" s="27"/>
    </row>
    <row r="5271" spans="1:18">
      <c r="A5271" s="28"/>
      <c r="B5271" s="29"/>
      <c r="C5271" s="29"/>
      <c r="D5271" s="29"/>
      <c r="E5271" s="29"/>
      <c r="H5271" s="27"/>
      <c r="K5271"/>
      <c r="P5271" s="27"/>
      <c r="Q5271" s="27"/>
      <c r="R5271" s="27"/>
    </row>
    <row r="5272" spans="1:18">
      <c r="A5272" s="28"/>
      <c r="B5272" s="29"/>
      <c r="C5272" s="29"/>
      <c r="D5272" s="29"/>
      <c r="E5272" s="29"/>
      <c r="H5272" s="27"/>
      <c r="K5272"/>
      <c r="P5272" s="27"/>
      <c r="Q5272" s="27"/>
      <c r="R5272" s="27"/>
    </row>
    <row r="5273" spans="1:18">
      <c r="A5273" s="28"/>
      <c r="B5273" s="29"/>
      <c r="C5273" s="29"/>
      <c r="D5273" s="29"/>
      <c r="E5273" s="29"/>
      <c r="H5273" s="27"/>
      <c r="K5273"/>
      <c r="P5273" s="27"/>
      <c r="Q5273" s="27"/>
      <c r="R5273" s="27"/>
    </row>
    <row r="5274" spans="1:18">
      <c r="A5274" s="28"/>
      <c r="B5274" s="29"/>
      <c r="C5274" s="29"/>
      <c r="D5274" s="29"/>
      <c r="E5274" s="29"/>
      <c r="H5274" s="27"/>
      <c r="K5274"/>
      <c r="P5274" s="27"/>
      <c r="Q5274" s="27"/>
      <c r="R5274" s="27"/>
    </row>
    <row r="5275" spans="1:18">
      <c r="A5275" s="28"/>
      <c r="B5275" s="29"/>
      <c r="C5275" s="29"/>
      <c r="D5275" s="29"/>
      <c r="E5275" s="29"/>
      <c r="H5275" s="27"/>
      <c r="K5275"/>
      <c r="P5275" s="27"/>
      <c r="Q5275" s="27"/>
      <c r="R5275" s="27"/>
    </row>
    <row r="5276" spans="1:18">
      <c r="A5276" s="28"/>
      <c r="B5276" s="29"/>
      <c r="C5276" s="29"/>
      <c r="D5276" s="29"/>
      <c r="E5276" s="29"/>
      <c r="H5276" s="27"/>
      <c r="K5276"/>
      <c r="P5276" s="27"/>
      <c r="Q5276" s="27"/>
      <c r="R5276" s="27"/>
    </row>
    <row r="5277" spans="1:18">
      <c r="A5277" s="28"/>
      <c r="B5277" s="29"/>
      <c r="C5277" s="29"/>
      <c r="D5277" s="29"/>
      <c r="E5277" s="29"/>
      <c r="H5277" s="27"/>
      <c r="K5277"/>
      <c r="P5277" s="27"/>
      <c r="Q5277" s="27"/>
      <c r="R5277" s="27"/>
    </row>
    <row r="5278" spans="1:18">
      <c r="A5278" s="28"/>
      <c r="B5278" s="29"/>
      <c r="C5278" s="29"/>
      <c r="D5278" s="29"/>
      <c r="E5278" s="29"/>
      <c r="H5278" s="27"/>
      <c r="K5278"/>
      <c r="P5278" s="27"/>
      <c r="Q5278" s="27"/>
      <c r="R5278" s="27"/>
    </row>
    <row r="5279" spans="1:18">
      <c r="A5279" s="28"/>
      <c r="B5279" s="29"/>
      <c r="C5279" s="29"/>
      <c r="D5279" s="29"/>
      <c r="E5279" s="29"/>
      <c r="H5279" s="27"/>
      <c r="K5279"/>
      <c r="P5279" s="27"/>
      <c r="Q5279" s="27"/>
      <c r="R5279" s="27"/>
    </row>
    <row r="5280" spans="1:18">
      <c r="A5280" s="28"/>
      <c r="B5280" s="29"/>
      <c r="C5280" s="29"/>
      <c r="D5280" s="29"/>
      <c r="E5280" s="29"/>
      <c r="H5280" s="27"/>
      <c r="K5280"/>
      <c r="P5280" s="27"/>
      <c r="Q5280" s="27"/>
      <c r="R5280" s="27"/>
    </row>
    <row r="5281" spans="1:18">
      <c r="A5281" s="28"/>
      <c r="B5281" s="29"/>
      <c r="C5281" s="29"/>
      <c r="D5281" s="29"/>
      <c r="E5281" s="29"/>
      <c r="H5281" s="27"/>
      <c r="K5281"/>
      <c r="P5281" s="27"/>
      <c r="Q5281" s="27"/>
      <c r="R5281" s="27"/>
    </row>
    <row r="5282" spans="1:18">
      <c r="A5282" s="28"/>
      <c r="B5282" s="29"/>
      <c r="C5282" s="29"/>
      <c r="D5282" s="29"/>
      <c r="E5282" s="29"/>
      <c r="H5282" s="27"/>
      <c r="K5282"/>
      <c r="P5282" s="27"/>
      <c r="Q5282" s="27"/>
      <c r="R5282" s="27"/>
    </row>
    <row r="5283" spans="1:18">
      <c r="A5283" s="28"/>
      <c r="B5283" s="29"/>
      <c r="C5283" s="29"/>
      <c r="D5283" s="29"/>
      <c r="E5283" s="29"/>
      <c r="H5283" s="27"/>
      <c r="K5283"/>
      <c r="P5283" s="27"/>
      <c r="Q5283" s="27"/>
      <c r="R5283" s="27"/>
    </row>
    <row r="5284" spans="1:18">
      <c r="A5284" s="28"/>
      <c r="B5284" s="29"/>
      <c r="C5284" s="29"/>
      <c r="D5284" s="29"/>
      <c r="E5284" s="29"/>
      <c r="H5284" s="27"/>
      <c r="K5284"/>
      <c r="P5284" s="27"/>
      <c r="Q5284" s="27"/>
      <c r="R5284" s="27"/>
    </row>
    <row r="5285" spans="1:18">
      <c r="A5285" s="28"/>
      <c r="B5285" s="29"/>
      <c r="C5285" s="29"/>
      <c r="D5285" s="29"/>
      <c r="E5285" s="29"/>
      <c r="H5285" s="27"/>
      <c r="K5285"/>
      <c r="P5285" s="27"/>
      <c r="Q5285" s="27"/>
      <c r="R5285" s="27"/>
    </row>
    <row r="5286" spans="1:18">
      <c r="A5286" s="28"/>
      <c r="B5286" s="29"/>
      <c r="C5286" s="29"/>
      <c r="D5286" s="29"/>
      <c r="E5286" s="29"/>
      <c r="H5286" s="27"/>
      <c r="K5286"/>
      <c r="P5286" s="27"/>
      <c r="Q5286" s="27"/>
      <c r="R5286" s="27"/>
    </row>
    <row r="5287" spans="1:18">
      <c r="A5287" s="28"/>
      <c r="B5287" s="29"/>
      <c r="C5287" s="29"/>
      <c r="D5287" s="29"/>
      <c r="E5287" s="29"/>
      <c r="H5287" s="27"/>
      <c r="K5287"/>
      <c r="P5287" s="27"/>
      <c r="Q5287" s="27"/>
      <c r="R5287" s="27"/>
    </row>
    <row r="5288" spans="1:18">
      <c r="A5288" s="28"/>
      <c r="B5288" s="29"/>
      <c r="C5288" s="29"/>
      <c r="D5288" s="29"/>
      <c r="E5288" s="29"/>
      <c r="H5288" s="27"/>
      <c r="K5288"/>
      <c r="P5288" s="27"/>
      <c r="Q5288" s="27"/>
      <c r="R5288" s="27"/>
    </row>
    <row r="5289" spans="1:18">
      <c r="A5289" s="28"/>
      <c r="B5289" s="29"/>
      <c r="C5289" s="29"/>
      <c r="D5289" s="29"/>
      <c r="E5289" s="29"/>
      <c r="H5289" s="27"/>
      <c r="K5289"/>
      <c r="P5289" s="27"/>
      <c r="Q5289" s="27"/>
      <c r="R5289" s="27"/>
    </row>
    <row r="5290" spans="1:18">
      <c r="A5290" s="28"/>
      <c r="B5290" s="29"/>
      <c r="C5290" s="29"/>
      <c r="D5290" s="29"/>
      <c r="E5290" s="29"/>
      <c r="H5290" s="27"/>
      <c r="K5290"/>
      <c r="P5290" s="27"/>
      <c r="Q5290" s="27"/>
      <c r="R5290" s="27"/>
    </row>
    <row r="5291" spans="1:18">
      <c r="A5291" s="28"/>
      <c r="B5291" s="29"/>
      <c r="C5291" s="29"/>
      <c r="D5291" s="29"/>
      <c r="E5291" s="29"/>
      <c r="H5291" s="27"/>
      <c r="K5291"/>
      <c r="P5291" s="27"/>
      <c r="Q5291" s="27"/>
      <c r="R5291" s="27"/>
    </row>
    <row r="5292" spans="1:18">
      <c r="A5292" s="28"/>
      <c r="B5292" s="29"/>
      <c r="C5292" s="29"/>
      <c r="D5292" s="29"/>
      <c r="E5292" s="29"/>
      <c r="H5292" s="27"/>
      <c r="K5292"/>
      <c r="P5292" s="27"/>
      <c r="Q5292" s="27"/>
      <c r="R5292" s="27"/>
    </row>
    <row r="5293" spans="1:18">
      <c r="A5293" s="28"/>
      <c r="B5293" s="29"/>
      <c r="C5293" s="29"/>
      <c r="D5293" s="29"/>
      <c r="E5293" s="29"/>
      <c r="H5293" s="27"/>
      <c r="K5293"/>
      <c r="P5293" s="27"/>
      <c r="Q5293" s="27"/>
      <c r="R5293" s="27"/>
    </row>
    <row r="5294" spans="1:18">
      <c r="A5294" s="28"/>
      <c r="B5294" s="29"/>
      <c r="C5294" s="29"/>
      <c r="D5294" s="29"/>
      <c r="E5294" s="29"/>
      <c r="H5294" s="27"/>
      <c r="K5294"/>
      <c r="P5294" s="27"/>
      <c r="Q5294" s="27"/>
      <c r="R5294" s="27"/>
    </row>
    <row r="5295" spans="1:18">
      <c r="A5295" s="28"/>
      <c r="B5295" s="29"/>
      <c r="C5295" s="29"/>
      <c r="D5295" s="29"/>
      <c r="E5295" s="29"/>
      <c r="H5295" s="27"/>
      <c r="K5295"/>
      <c r="P5295" s="27"/>
      <c r="Q5295" s="27"/>
      <c r="R5295" s="27"/>
    </row>
    <row r="5296" spans="1:18">
      <c r="A5296" s="28"/>
      <c r="B5296" s="29"/>
      <c r="C5296" s="29"/>
      <c r="D5296" s="29"/>
      <c r="E5296" s="29"/>
      <c r="H5296" s="27"/>
      <c r="K5296"/>
      <c r="P5296" s="27"/>
      <c r="Q5296" s="27"/>
      <c r="R5296" s="27"/>
    </row>
    <row r="5297" spans="1:18">
      <c r="A5297" s="28"/>
      <c r="B5297" s="29"/>
      <c r="C5297" s="29"/>
      <c r="D5297" s="29"/>
      <c r="E5297" s="29"/>
      <c r="H5297" s="27"/>
      <c r="K5297"/>
      <c r="P5297" s="27"/>
      <c r="Q5297" s="27"/>
      <c r="R5297" s="27"/>
    </row>
    <row r="5298" spans="1:18">
      <c r="A5298" s="28"/>
      <c r="B5298" s="29"/>
      <c r="C5298" s="29"/>
      <c r="D5298" s="29"/>
      <c r="E5298" s="29"/>
      <c r="H5298" s="27"/>
      <c r="K5298"/>
      <c r="P5298" s="27"/>
      <c r="Q5298" s="27"/>
      <c r="R5298" s="27"/>
    </row>
    <row r="5299" spans="1:18">
      <c r="A5299" s="28"/>
      <c r="B5299" s="29"/>
      <c r="C5299" s="29"/>
      <c r="D5299" s="29"/>
      <c r="E5299" s="29"/>
      <c r="H5299" s="27"/>
      <c r="K5299"/>
      <c r="P5299" s="27"/>
      <c r="Q5299" s="27"/>
      <c r="R5299" s="27"/>
    </row>
    <row r="5300" spans="1:18">
      <c r="A5300" s="28"/>
      <c r="B5300" s="29"/>
      <c r="C5300" s="29"/>
      <c r="D5300" s="29"/>
      <c r="E5300" s="29"/>
      <c r="H5300" s="27"/>
      <c r="K5300"/>
      <c r="P5300" s="27"/>
      <c r="Q5300" s="27"/>
      <c r="R5300" s="27"/>
    </row>
    <row r="5301" spans="1:18">
      <c r="A5301" s="28"/>
      <c r="B5301" s="29"/>
      <c r="C5301" s="29"/>
      <c r="D5301" s="29"/>
      <c r="E5301" s="29"/>
      <c r="H5301" s="27"/>
      <c r="K5301"/>
      <c r="P5301" s="27"/>
      <c r="Q5301" s="27"/>
      <c r="R5301" s="27"/>
    </row>
    <row r="5302" spans="1:18">
      <c r="A5302" s="28"/>
      <c r="B5302" s="29"/>
      <c r="C5302" s="29"/>
      <c r="D5302" s="29"/>
      <c r="E5302" s="29"/>
      <c r="H5302" s="27"/>
      <c r="K5302"/>
      <c r="P5302" s="27"/>
      <c r="Q5302" s="27"/>
      <c r="R5302" s="27"/>
    </row>
    <row r="5303" spans="1:18">
      <c r="A5303" s="28"/>
      <c r="B5303" s="29"/>
      <c r="C5303" s="29"/>
      <c r="D5303" s="29"/>
      <c r="E5303" s="29"/>
      <c r="H5303" s="27"/>
      <c r="K5303"/>
      <c r="P5303" s="27"/>
      <c r="Q5303" s="27"/>
      <c r="R5303" s="27"/>
    </row>
    <row r="5304" spans="1:18">
      <c r="A5304" s="28"/>
      <c r="B5304" s="29"/>
      <c r="C5304" s="29"/>
      <c r="D5304" s="29"/>
      <c r="E5304" s="29"/>
      <c r="H5304" s="27"/>
      <c r="K5304"/>
      <c r="P5304" s="27"/>
      <c r="Q5304" s="27"/>
      <c r="R5304" s="27"/>
    </row>
    <row r="5305" spans="1:18">
      <c r="A5305" s="28"/>
      <c r="B5305" s="29"/>
      <c r="C5305" s="29"/>
      <c r="D5305" s="29"/>
      <c r="E5305" s="29"/>
      <c r="H5305" s="27"/>
      <c r="K5305"/>
      <c r="P5305" s="27"/>
      <c r="Q5305" s="27"/>
      <c r="R5305" s="27"/>
    </row>
    <row r="5306" spans="1:18">
      <c r="A5306" s="28"/>
      <c r="B5306" s="29"/>
      <c r="C5306" s="29"/>
      <c r="D5306" s="29"/>
      <c r="E5306" s="29"/>
      <c r="H5306" s="27"/>
      <c r="K5306"/>
      <c r="P5306" s="27"/>
      <c r="Q5306" s="27"/>
      <c r="R5306" s="27"/>
    </row>
    <row r="5307" spans="1:18">
      <c r="A5307" s="28"/>
      <c r="B5307" s="29"/>
      <c r="C5307" s="29"/>
      <c r="D5307" s="29"/>
      <c r="E5307" s="29"/>
      <c r="H5307" s="27"/>
      <c r="K5307"/>
      <c r="P5307" s="27"/>
      <c r="Q5307" s="27"/>
      <c r="R5307" s="27"/>
    </row>
    <row r="5308" spans="1:18">
      <c r="A5308" s="28"/>
      <c r="B5308" s="29"/>
      <c r="C5308" s="29"/>
      <c r="D5308" s="29"/>
      <c r="E5308" s="29"/>
      <c r="H5308" s="27"/>
      <c r="K5308"/>
      <c r="P5308" s="27"/>
      <c r="Q5308" s="27"/>
      <c r="R5308" s="27"/>
    </row>
    <row r="5309" spans="1:18">
      <c r="A5309" s="28"/>
      <c r="B5309" s="29"/>
      <c r="C5309" s="29"/>
      <c r="D5309" s="29"/>
      <c r="E5309" s="29"/>
      <c r="H5309" s="27"/>
      <c r="K5309"/>
      <c r="P5309" s="27"/>
      <c r="Q5309" s="27"/>
      <c r="R5309" s="27"/>
    </row>
    <row r="5310" spans="1:18">
      <c r="A5310" s="28"/>
      <c r="B5310" s="29"/>
      <c r="C5310" s="29"/>
      <c r="D5310" s="29"/>
      <c r="E5310" s="29"/>
      <c r="H5310" s="27"/>
      <c r="K5310"/>
      <c r="P5310" s="27"/>
      <c r="Q5310" s="27"/>
      <c r="R5310" s="27"/>
    </row>
    <row r="5311" spans="1:18">
      <c r="A5311" s="28"/>
      <c r="B5311" s="29"/>
      <c r="C5311" s="29"/>
      <c r="D5311" s="29"/>
      <c r="E5311" s="29"/>
      <c r="H5311" s="27"/>
      <c r="K5311"/>
      <c r="P5311" s="27"/>
      <c r="Q5311" s="27"/>
      <c r="R5311" s="27"/>
    </row>
    <row r="5312" spans="1:18">
      <c r="A5312" s="28"/>
      <c r="B5312" s="29"/>
      <c r="C5312" s="29"/>
      <c r="D5312" s="29"/>
      <c r="E5312" s="29"/>
      <c r="H5312" s="27"/>
      <c r="K5312"/>
      <c r="P5312" s="27"/>
      <c r="Q5312" s="27"/>
      <c r="R5312" s="27"/>
    </row>
    <row r="5313" spans="1:18">
      <c r="A5313" s="28"/>
      <c r="B5313" s="29"/>
      <c r="C5313" s="29"/>
      <c r="D5313" s="29"/>
      <c r="E5313" s="29"/>
      <c r="H5313" s="27"/>
      <c r="K5313"/>
      <c r="P5313" s="27"/>
      <c r="Q5313" s="27"/>
      <c r="R5313" s="27"/>
    </row>
    <row r="5314" spans="1:18">
      <c r="A5314" s="28"/>
      <c r="B5314" s="29"/>
      <c r="C5314" s="29"/>
      <c r="D5314" s="29"/>
      <c r="E5314" s="29"/>
      <c r="H5314" s="27"/>
      <c r="K5314"/>
      <c r="P5314" s="27"/>
      <c r="Q5314" s="27"/>
      <c r="R5314" s="27"/>
    </row>
    <row r="5315" spans="1:18">
      <c r="A5315" s="28"/>
      <c r="B5315" s="29"/>
      <c r="C5315" s="29"/>
      <c r="D5315" s="29"/>
      <c r="E5315" s="29"/>
      <c r="H5315" s="27"/>
      <c r="K5315"/>
      <c r="P5315" s="27"/>
      <c r="Q5315" s="27"/>
      <c r="R5315" s="27"/>
    </row>
    <row r="5316" spans="1:18">
      <c r="A5316" s="28"/>
      <c r="B5316" s="29"/>
      <c r="C5316" s="29"/>
      <c r="D5316" s="29"/>
      <c r="E5316" s="29"/>
      <c r="H5316" s="27"/>
      <c r="K5316"/>
      <c r="P5316" s="27"/>
      <c r="Q5316" s="27"/>
      <c r="R5316" s="27"/>
    </row>
    <row r="5317" spans="1:18">
      <c r="A5317" s="28"/>
      <c r="B5317" s="29"/>
      <c r="C5317" s="29"/>
      <c r="D5317" s="29"/>
      <c r="E5317" s="29"/>
      <c r="H5317" s="27"/>
      <c r="K5317"/>
      <c r="P5317" s="27"/>
      <c r="Q5317" s="27"/>
      <c r="R5317" s="27"/>
    </row>
    <row r="5318" spans="1:18">
      <c r="A5318" s="28"/>
      <c r="B5318" s="29"/>
      <c r="C5318" s="29"/>
      <c r="D5318" s="29"/>
      <c r="E5318" s="29"/>
      <c r="H5318" s="27"/>
      <c r="K5318"/>
      <c r="P5318" s="27"/>
      <c r="Q5318" s="27"/>
      <c r="R5318" s="27"/>
    </row>
    <row r="5319" spans="1:18">
      <c r="A5319" s="28"/>
      <c r="B5319" s="29"/>
      <c r="C5319" s="29"/>
      <c r="D5319" s="29"/>
      <c r="E5319" s="29"/>
      <c r="H5319" s="27"/>
      <c r="K5319"/>
      <c r="P5319" s="27"/>
      <c r="Q5319" s="27"/>
      <c r="R5319" s="27"/>
    </row>
    <row r="5320" spans="1:18">
      <c r="A5320" s="28"/>
      <c r="B5320" s="29"/>
      <c r="C5320" s="29"/>
      <c r="D5320" s="29"/>
      <c r="E5320" s="29"/>
      <c r="H5320" s="27"/>
      <c r="K5320"/>
      <c r="P5320" s="27"/>
      <c r="Q5320" s="27"/>
      <c r="R5320" s="27"/>
    </row>
    <row r="5321" spans="1:18">
      <c r="A5321" s="28"/>
      <c r="B5321" s="29"/>
      <c r="C5321" s="29"/>
      <c r="D5321" s="29"/>
      <c r="E5321" s="29"/>
      <c r="H5321" s="27"/>
      <c r="K5321"/>
      <c r="P5321" s="27"/>
      <c r="Q5321" s="27"/>
      <c r="R5321" s="27"/>
    </row>
    <row r="5322" spans="1:18">
      <c r="A5322" s="28"/>
      <c r="B5322" s="29"/>
      <c r="C5322" s="29"/>
      <c r="D5322" s="29"/>
      <c r="E5322" s="29"/>
      <c r="H5322" s="27"/>
      <c r="K5322"/>
      <c r="P5322" s="27"/>
      <c r="Q5322" s="27"/>
      <c r="R5322" s="27"/>
    </row>
    <row r="5323" spans="1:18">
      <c r="A5323" s="28"/>
      <c r="B5323" s="29"/>
      <c r="C5323" s="29"/>
      <c r="D5323" s="29"/>
      <c r="E5323" s="29"/>
      <c r="H5323" s="27"/>
      <c r="K5323"/>
      <c r="P5323" s="27"/>
      <c r="Q5323" s="27"/>
      <c r="R5323" s="27"/>
    </row>
    <row r="5324" spans="1:18">
      <c r="A5324" s="28"/>
      <c r="B5324" s="29"/>
      <c r="C5324" s="29"/>
      <c r="D5324" s="29"/>
      <c r="E5324" s="29"/>
      <c r="H5324" s="27"/>
      <c r="K5324"/>
      <c r="P5324" s="27"/>
      <c r="Q5324" s="27"/>
      <c r="R5324" s="27"/>
    </row>
    <row r="5325" spans="1:18">
      <c r="A5325" s="28"/>
      <c r="B5325" s="29"/>
      <c r="C5325" s="29"/>
      <c r="D5325" s="29"/>
      <c r="E5325" s="29"/>
      <c r="H5325" s="27"/>
      <c r="K5325"/>
      <c r="P5325" s="27"/>
      <c r="Q5325" s="27"/>
      <c r="R5325" s="27"/>
    </row>
    <row r="5326" spans="1:18">
      <c r="A5326" s="28"/>
      <c r="B5326" s="29"/>
      <c r="C5326" s="29"/>
      <c r="D5326" s="29"/>
      <c r="E5326" s="29"/>
      <c r="H5326" s="27"/>
      <c r="K5326"/>
      <c r="P5326" s="27"/>
      <c r="Q5326" s="27"/>
      <c r="R5326" s="27"/>
    </row>
    <row r="5327" spans="1:18">
      <c r="A5327" s="28"/>
      <c r="B5327" s="29"/>
      <c r="C5327" s="29"/>
      <c r="D5327" s="29"/>
      <c r="E5327" s="29"/>
      <c r="H5327" s="27"/>
      <c r="K5327"/>
      <c r="P5327" s="27"/>
      <c r="Q5327" s="27"/>
      <c r="R5327" s="27"/>
    </row>
    <row r="5328" spans="1:18">
      <c r="A5328" s="28"/>
      <c r="B5328" s="29"/>
      <c r="C5328" s="29"/>
      <c r="D5328" s="29"/>
      <c r="E5328" s="29"/>
      <c r="H5328" s="27"/>
      <c r="K5328"/>
      <c r="P5328" s="27"/>
      <c r="Q5328" s="27"/>
      <c r="R5328" s="27"/>
    </row>
    <row r="5329" spans="1:18">
      <c r="A5329" s="28"/>
      <c r="B5329" s="29"/>
      <c r="C5329" s="29"/>
      <c r="D5329" s="29"/>
      <c r="E5329" s="29"/>
      <c r="H5329" s="27"/>
      <c r="K5329"/>
      <c r="P5329" s="27"/>
      <c r="Q5329" s="27"/>
      <c r="R5329" s="27"/>
    </row>
    <row r="5330" spans="1:18">
      <c r="A5330" s="28"/>
      <c r="B5330" s="29"/>
      <c r="C5330" s="29"/>
      <c r="D5330" s="29"/>
      <c r="E5330" s="29"/>
      <c r="H5330" s="27"/>
      <c r="K5330"/>
      <c r="P5330" s="27"/>
      <c r="Q5330" s="27"/>
      <c r="R5330" s="27"/>
    </row>
    <row r="5331" spans="1:18">
      <c r="A5331" s="28"/>
      <c r="B5331" s="29"/>
      <c r="C5331" s="29"/>
      <c r="D5331" s="29"/>
      <c r="E5331" s="29"/>
      <c r="H5331" s="27"/>
      <c r="K5331"/>
      <c r="P5331" s="27"/>
      <c r="Q5331" s="27"/>
      <c r="R5331" s="27"/>
    </row>
    <row r="5332" spans="1:18">
      <c r="A5332" s="28"/>
      <c r="B5332" s="29"/>
      <c r="C5332" s="29"/>
      <c r="D5332" s="29"/>
      <c r="E5332" s="29"/>
      <c r="H5332" s="27"/>
      <c r="K5332"/>
      <c r="P5332" s="27"/>
      <c r="Q5332" s="27"/>
      <c r="R5332" s="27"/>
    </row>
    <row r="5333" spans="1:18">
      <c r="A5333" s="28"/>
      <c r="B5333" s="29"/>
      <c r="C5333" s="29"/>
      <c r="D5333" s="29"/>
      <c r="E5333" s="29"/>
      <c r="H5333" s="27"/>
      <c r="K5333"/>
      <c r="P5333" s="27"/>
      <c r="Q5333" s="27"/>
      <c r="R5333" s="27"/>
    </row>
    <row r="5334" spans="1:18">
      <c r="A5334" s="28"/>
      <c r="B5334" s="29"/>
      <c r="C5334" s="29"/>
      <c r="D5334" s="29"/>
      <c r="E5334" s="29"/>
      <c r="H5334" s="27"/>
      <c r="K5334"/>
      <c r="P5334" s="27"/>
      <c r="Q5334" s="27"/>
      <c r="R5334" s="27"/>
    </row>
    <row r="5335" spans="1:18">
      <c r="A5335" s="28"/>
      <c r="B5335" s="29"/>
      <c r="C5335" s="29"/>
      <c r="D5335" s="29"/>
      <c r="E5335" s="29"/>
      <c r="H5335" s="27"/>
      <c r="K5335"/>
      <c r="P5335" s="27"/>
      <c r="Q5335" s="27"/>
      <c r="R5335" s="27"/>
    </row>
    <row r="5336" spans="1:18">
      <c r="A5336" s="28"/>
      <c r="B5336" s="29"/>
      <c r="C5336" s="29"/>
      <c r="D5336" s="29"/>
      <c r="E5336" s="29"/>
      <c r="H5336" s="27"/>
      <c r="K5336"/>
      <c r="P5336" s="27"/>
      <c r="Q5336" s="27"/>
      <c r="R5336" s="27"/>
    </row>
    <row r="5337" spans="1:18">
      <c r="A5337" s="28"/>
      <c r="B5337" s="29"/>
      <c r="C5337" s="29"/>
      <c r="D5337" s="29"/>
      <c r="E5337" s="29"/>
      <c r="H5337" s="27"/>
      <c r="K5337"/>
      <c r="P5337" s="27"/>
      <c r="Q5337" s="27"/>
      <c r="R5337" s="27"/>
    </row>
    <row r="5338" spans="1:18">
      <c r="A5338" s="28"/>
      <c r="B5338" s="29"/>
      <c r="C5338" s="29"/>
      <c r="D5338" s="29"/>
      <c r="E5338" s="29"/>
      <c r="H5338" s="27"/>
      <c r="K5338"/>
      <c r="P5338" s="27"/>
      <c r="Q5338" s="27"/>
      <c r="R5338" s="27"/>
    </row>
    <row r="5339" spans="1:18">
      <c r="A5339" s="28"/>
      <c r="B5339" s="29"/>
      <c r="C5339" s="29"/>
      <c r="D5339" s="29"/>
      <c r="E5339" s="29"/>
      <c r="H5339" s="27"/>
      <c r="K5339"/>
      <c r="P5339" s="27"/>
      <c r="Q5339" s="27"/>
      <c r="R5339" s="27"/>
    </row>
    <row r="5340" spans="1:18">
      <c r="A5340" s="28"/>
      <c r="B5340" s="29"/>
      <c r="C5340" s="29"/>
      <c r="D5340" s="29"/>
      <c r="E5340" s="29"/>
      <c r="H5340" s="27"/>
      <c r="K5340"/>
      <c r="P5340" s="27"/>
      <c r="Q5340" s="27"/>
      <c r="R5340" s="27"/>
    </row>
    <row r="5341" spans="1:18">
      <c r="A5341" s="28"/>
      <c r="B5341" s="29"/>
      <c r="C5341" s="29"/>
      <c r="D5341" s="29"/>
      <c r="E5341" s="29"/>
      <c r="H5341" s="27"/>
      <c r="K5341"/>
      <c r="P5341" s="27"/>
      <c r="Q5341" s="27"/>
      <c r="R5341" s="27"/>
    </row>
    <row r="5342" spans="1:18">
      <c r="A5342" s="28"/>
      <c r="B5342" s="29"/>
      <c r="C5342" s="29"/>
      <c r="D5342" s="29"/>
      <c r="E5342" s="29"/>
      <c r="H5342" s="27"/>
      <c r="K5342"/>
      <c r="P5342" s="27"/>
      <c r="Q5342" s="27"/>
      <c r="R5342" s="27"/>
    </row>
    <row r="5343" spans="1:18">
      <c r="A5343" s="28"/>
      <c r="B5343" s="29"/>
      <c r="C5343" s="29"/>
      <c r="D5343" s="29"/>
      <c r="E5343" s="29"/>
      <c r="H5343" s="27"/>
      <c r="K5343"/>
      <c r="P5343" s="27"/>
      <c r="Q5343" s="27"/>
      <c r="R5343" s="27"/>
    </row>
    <row r="5344" spans="1:18">
      <c r="A5344" s="28"/>
      <c r="B5344" s="29"/>
      <c r="C5344" s="29"/>
      <c r="D5344" s="29"/>
      <c r="E5344" s="29"/>
      <c r="H5344" s="27"/>
      <c r="K5344"/>
      <c r="P5344" s="27"/>
      <c r="Q5344" s="27"/>
      <c r="R5344" s="27"/>
    </row>
    <row r="5345" spans="1:18">
      <c r="A5345" s="28"/>
      <c r="B5345" s="29"/>
      <c r="C5345" s="29"/>
      <c r="D5345" s="29"/>
      <c r="E5345" s="29"/>
      <c r="H5345" s="27"/>
      <c r="K5345"/>
      <c r="P5345" s="27"/>
      <c r="Q5345" s="27"/>
      <c r="R5345" s="27"/>
    </row>
    <row r="5346" spans="1:18">
      <c r="A5346" s="28"/>
      <c r="B5346" s="29"/>
      <c r="C5346" s="29"/>
      <c r="D5346" s="29"/>
      <c r="E5346" s="29"/>
      <c r="H5346" s="27"/>
      <c r="K5346"/>
      <c r="P5346" s="27"/>
      <c r="Q5346" s="27"/>
      <c r="R5346" s="27"/>
    </row>
    <row r="5347" spans="1:18">
      <c r="A5347" s="28"/>
      <c r="B5347" s="29"/>
      <c r="C5347" s="29"/>
      <c r="D5347" s="29"/>
      <c r="E5347" s="29"/>
      <c r="H5347" s="27"/>
      <c r="K5347"/>
      <c r="P5347" s="27"/>
      <c r="Q5347" s="27"/>
      <c r="R5347" s="27"/>
    </row>
    <row r="5348" spans="1:18">
      <c r="A5348" s="28"/>
      <c r="B5348" s="29"/>
      <c r="C5348" s="29"/>
      <c r="D5348" s="29"/>
      <c r="E5348" s="29"/>
      <c r="H5348" s="27"/>
      <c r="K5348"/>
      <c r="P5348" s="27"/>
      <c r="Q5348" s="27"/>
      <c r="R5348" s="27"/>
    </row>
    <row r="5349" spans="1:18">
      <c r="A5349" s="28"/>
      <c r="B5349" s="29"/>
      <c r="C5349" s="29"/>
      <c r="D5349" s="29"/>
      <c r="E5349" s="29"/>
      <c r="H5349" s="27"/>
      <c r="K5349"/>
      <c r="P5349" s="27"/>
      <c r="Q5349" s="27"/>
      <c r="R5349" s="27"/>
    </row>
    <row r="5350" spans="1:18">
      <c r="A5350" s="28"/>
      <c r="B5350" s="29"/>
      <c r="C5350" s="29"/>
      <c r="D5350" s="29"/>
      <c r="E5350" s="29"/>
      <c r="H5350" s="27"/>
      <c r="K5350"/>
      <c r="P5350" s="27"/>
      <c r="Q5350" s="27"/>
      <c r="R5350" s="27"/>
    </row>
    <row r="5351" spans="1:18">
      <c r="A5351" s="28"/>
      <c r="B5351" s="29"/>
      <c r="C5351" s="29"/>
      <c r="D5351" s="29"/>
      <c r="E5351" s="29"/>
      <c r="H5351" s="27"/>
      <c r="K5351"/>
      <c r="P5351" s="27"/>
      <c r="Q5351" s="27"/>
      <c r="R5351" s="27"/>
    </row>
    <row r="5352" spans="1:18">
      <c r="A5352" s="28"/>
      <c r="B5352" s="29"/>
      <c r="C5352" s="29"/>
      <c r="D5352" s="29"/>
      <c r="E5352" s="29"/>
      <c r="H5352" s="27"/>
      <c r="K5352"/>
      <c r="P5352" s="27"/>
      <c r="Q5352" s="27"/>
      <c r="R5352" s="27"/>
    </row>
    <row r="5353" spans="1:18">
      <c r="A5353" s="28"/>
      <c r="B5353" s="29"/>
      <c r="C5353" s="29"/>
      <c r="D5353" s="29"/>
      <c r="E5353" s="29"/>
      <c r="H5353" s="27"/>
      <c r="K5353"/>
      <c r="P5353" s="27"/>
      <c r="Q5353" s="27"/>
      <c r="R5353" s="27"/>
    </row>
    <row r="5354" spans="1:18">
      <c r="A5354" s="28"/>
      <c r="B5354" s="29"/>
      <c r="C5354" s="29"/>
      <c r="D5354" s="29"/>
      <c r="E5354" s="29"/>
      <c r="H5354" s="27"/>
      <c r="K5354"/>
      <c r="P5354" s="27"/>
      <c r="Q5354" s="27"/>
      <c r="R5354" s="27"/>
    </row>
    <row r="5355" spans="1:18">
      <c r="A5355" s="28"/>
      <c r="B5355" s="29"/>
      <c r="C5355" s="29"/>
      <c r="D5355" s="29"/>
      <c r="E5355" s="29"/>
      <c r="H5355" s="27"/>
      <c r="K5355"/>
      <c r="P5355" s="27"/>
      <c r="Q5355" s="27"/>
      <c r="R5355" s="27"/>
    </row>
    <row r="5356" spans="1:18">
      <c r="A5356" s="28"/>
      <c r="B5356" s="29"/>
      <c r="C5356" s="29"/>
      <c r="D5356" s="29"/>
      <c r="E5356" s="29"/>
      <c r="H5356" s="27"/>
      <c r="K5356"/>
      <c r="P5356" s="27"/>
      <c r="Q5356" s="27"/>
      <c r="R5356" s="27"/>
    </row>
    <row r="5357" spans="1:18">
      <c r="A5357" s="28"/>
      <c r="B5357" s="29"/>
      <c r="C5357" s="29"/>
      <c r="D5357" s="29"/>
      <c r="E5357" s="29"/>
      <c r="H5357" s="27"/>
      <c r="K5357"/>
      <c r="P5357" s="27"/>
      <c r="Q5357" s="27"/>
      <c r="R5357" s="27"/>
    </row>
    <row r="5358" spans="1:18">
      <c r="A5358" s="28"/>
      <c r="B5358" s="29"/>
      <c r="C5358" s="29"/>
      <c r="D5358" s="29"/>
      <c r="E5358" s="29"/>
      <c r="H5358" s="27"/>
      <c r="K5358"/>
      <c r="P5358" s="27"/>
      <c r="Q5358" s="27"/>
      <c r="R5358" s="27"/>
    </row>
    <row r="5359" spans="1:18">
      <c r="A5359" s="28"/>
      <c r="B5359" s="29"/>
      <c r="C5359" s="29"/>
      <c r="D5359" s="29"/>
      <c r="E5359" s="29"/>
      <c r="H5359" s="27"/>
      <c r="K5359"/>
      <c r="P5359" s="27"/>
      <c r="Q5359" s="27"/>
      <c r="R5359" s="27"/>
    </row>
    <row r="5360" spans="1:18">
      <c r="A5360" s="28"/>
      <c r="B5360" s="29"/>
      <c r="C5360" s="29"/>
      <c r="D5360" s="29"/>
      <c r="E5360" s="29"/>
      <c r="H5360" s="27"/>
      <c r="K5360"/>
      <c r="P5360" s="27"/>
      <c r="Q5360" s="27"/>
      <c r="R5360" s="27"/>
    </row>
    <row r="5361" spans="1:18">
      <c r="A5361" s="28"/>
      <c r="B5361" s="29"/>
      <c r="C5361" s="29"/>
      <c r="D5361" s="29"/>
      <c r="E5361" s="29"/>
      <c r="H5361" s="27"/>
      <c r="K5361"/>
      <c r="P5361" s="27"/>
      <c r="Q5361" s="27"/>
      <c r="R5361" s="27"/>
    </row>
    <row r="5362" spans="1:18">
      <c r="A5362" s="28"/>
      <c r="B5362" s="29"/>
      <c r="C5362" s="29"/>
      <c r="D5362" s="29"/>
      <c r="E5362" s="29"/>
      <c r="H5362" s="27"/>
      <c r="K5362"/>
      <c r="P5362" s="27"/>
      <c r="Q5362" s="27"/>
      <c r="R5362" s="27"/>
    </row>
    <row r="5363" spans="1:18">
      <c r="A5363" s="28"/>
      <c r="B5363" s="29"/>
      <c r="C5363" s="29"/>
      <c r="D5363" s="29"/>
      <c r="E5363" s="29"/>
      <c r="H5363" s="27"/>
      <c r="K5363"/>
      <c r="P5363" s="27"/>
      <c r="Q5363" s="27"/>
      <c r="R5363" s="27"/>
    </row>
    <row r="5364" spans="1:18">
      <c r="A5364" s="28"/>
      <c r="B5364" s="29"/>
      <c r="C5364" s="29"/>
      <c r="D5364" s="29"/>
      <c r="E5364" s="29"/>
      <c r="H5364" s="27"/>
      <c r="K5364"/>
      <c r="P5364" s="27"/>
      <c r="Q5364" s="27"/>
      <c r="R5364" s="27"/>
    </row>
    <row r="5365" spans="1:18">
      <c r="A5365" s="28"/>
      <c r="B5365" s="29"/>
      <c r="C5365" s="29"/>
      <c r="D5365" s="29"/>
      <c r="E5365" s="29"/>
      <c r="H5365" s="27"/>
      <c r="K5365"/>
      <c r="P5365" s="27"/>
      <c r="Q5365" s="27"/>
      <c r="R5365" s="27"/>
    </row>
    <row r="5366" spans="1:18">
      <c r="A5366" s="28"/>
      <c r="B5366" s="29"/>
      <c r="C5366" s="29"/>
      <c r="D5366" s="29"/>
      <c r="E5366" s="29"/>
      <c r="H5366" s="27"/>
      <c r="K5366"/>
      <c r="P5366" s="27"/>
      <c r="Q5366" s="27"/>
      <c r="R5366" s="27"/>
    </row>
    <row r="5367" spans="1:18">
      <c r="A5367" s="28"/>
      <c r="B5367" s="29"/>
      <c r="C5367" s="29"/>
      <c r="D5367" s="29"/>
      <c r="E5367" s="29"/>
      <c r="H5367" s="27"/>
      <c r="K5367"/>
      <c r="P5367" s="27"/>
      <c r="Q5367" s="27"/>
      <c r="R5367" s="27"/>
    </row>
    <row r="5368" spans="1:18">
      <c r="A5368" s="28"/>
      <c r="B5368" s="29"/>
      <c r="C5368" s="29"/>
      <c r="D5368" s="29"/>
      <c r="E5368" s="29"/>
      <c r="H5368" s="27"/>
      <c r="K5368"/>
      <c r="P5368" s="27"/>
      <c r="Q5368" s="27"/>
      <c r="R5368" s="27"/>
    </row>
    <row r="5369" spans="1:18">
      <c r="A5369" s="28"/>
      <c r="B5369" s="29"/>
      <c r="C5369" s="29"/>
      <c r="D5369" s="29"/>
      <c r="E5369" s="29"/>
      <c r="H5369" s="27"/>
      <c r="K5369"/>
      <c r="P5369" s="27"/>
      <c r="Q5369" s="27"/>
      <c r="R5369" s="27"/>
    </row>
    <row r="5370" spans="1:18">
      <c r="A5370" s="28"/>
      <c r="B5370" s="29"/>
      <c r="C5370" s="29"/>
      <c r="D5370" s="29"/>
      <c r="E5370" s="29"/>
      <c r="H5370" s="27"/>
      <c r="K5370"/>
      <c r="P5370" s="27"/>
      <c r="Q5370" s="27"/>
      <c r="R5370" s="27"/>
    </row>
    <row r="5371" spans="1:18">
      <c r="A5371" s="28"/>
      <c r="B5371" s="29"/>
      <c r="C5371" s="29"/>
      <c r="D5371" s="29"/>
      <c r="E5371" s="29"/>
      <c r="H5371" s="27"/>
      <c r="K5371"/>
      <c r="P5371" s="27"/>
      <c r="Q5371" s="27"/>
      <c r="R5371" s="27"/>
    </row>
    <row r="5372" spans="1:18">
      <c r="A5372" s="28"/>
      <c r="B5372" s="29"/>
      <c r="C5372" s="29"/>
      <c r="D5372" s="29"/>
      <c r="E5372" s="29"/>
      <c r="H5372" s="27"/>
      <c r="K5372"/>
      <c r="P5372" s="27"/>
      <c r="Q5372" s="27"/>
      <c r="R5372" s="27"/>
    </row>
    <row r="5373" spans="1:18">
      <c r="A5373" s="28"/>
      <c r="B5373" s="29"/>
      <c r="C5373" s="29"/>
      <c r="D5373" s="29"/>
      <c r="E5373" s="29"/>
      <c r="H5373" s="27"/>
      <c r="K5373"/>
      <c r="P5373" s="27"/>
      <c r="Q5373" s="27"/>
      <c r="R5373" s="27"/>
    </row>
    <row r="5374" spans="1:18">
      <c r="A5374" s="28"/>
      <c r="B5374" s="29"/>
      <c r="C5374" s="29"/>
      <c r="D5374" s="29"/>
      <c r="E5374" s="29"/>
      <c r="H5374" s="27"/>
      <c r="K5374"/>
      <c r="P5374" s="27"/>
      <c r="Q5374" s="27"/>
      <c r="R5374" s="27"/>
    </row>
    <row r="5375" spans="1:18">
      <c r="A5375" s="28"/>
      <c r="B5375" s="29"/>
      <c r="C5375" s="29"/>
      <c r="D5375" s="29"/>
      <c r="E5375" s="29"/>
      <c r="H5375" s="27"/>
      <c r="K5375"/>
      <c r="P5375" s="27"/>
      <c r="Q5375" s="27"/>
      <c r="R5375" s="27"/>
    </row>
    <row r="5376" spans="1:18">
      <c r="A5376" s="28"/>
      <c r="B5376" s="29"/>
      <c r="C5376" s="29"/>
      <c r="D5376" s="29"/>
      <c r="E5376" s="29"/>
      <c r="H5376" s="27"/>
      <c r="K5376"/>
      <c r="P5376" s="27"/>
      <c r="Q5376" s="27"/>
      <c r="R5376" s="27"/>
    </row>
    <row r="5377" spans="1:18">
      <c r="A5377" s="28"/>
      <c r="B5377" s="29"/>
      <c r="C5377" s="29"/>
      <c r="D5377" s="29"/>
      <c r="E5377" s="29"/>
      <c r="H5377" s="27"/>
      <c r="K5377"/>
      <c r="P5377" s="27"/>
      <c r="Q5377" s="27"/>
      <c r="R5377" s="27"/>
    </row>
    <row r="5378" spans="1:18">
      <c r="A5378" s="28"/>
      <c r="B5378" s="29"/>
      <c r="C5378" s="29"/>
      <c r="D5378" s="29"/>
      <c r="E5378" s="29"/>
      <c r="H5378" s="27"/>
      <c r="K5378"/>
      <c r="P5378" s="27"/>
      <c r="Q5378" s="27"/>
      <c r="R5378" s="27"/>
    </row>
    <row r="5379" spans="1:18">
      <c r="A5379" s="28"/>
      <c r="B5379" s="29"/>
      <c r="C5379" s="29"/>
      <c r="D5379" s="29"/>
      <c r="E5379" s="29"/>
      <c r="H5379" s="27"/>
      <c r="K5379"/>
      <c r="P5379" s="27"/>
      <c r="Q5379" s="27"/>
      <c r="R5379" s="27"/>
    </row>
    <row r="5380" spans="1:18">
      <c r="A5380" s="28"/>
      <c r="B5380" s="29"/>
      <c r="C5380" s="29"/>
      <c r="D5380" s="29"/>
      <c r="E5380" s="29"/>
      <c r="H5380" s="27"/>
      <c r="K5380"/>
      <c r="P5380" s="27"/>
      <c r="Q5380" s="27"/>
      <c r="R5380" s="27"/>
    </row>
    <row r="5381" spans="1:18">
      <c r="A5381" s="28"/>
      <c r="B5381" s="29"/>
      <c r="C5381" s="29"/>
      <c r="D5381" s="29"/>
      <c r="E5381" s="29"/>
      <c r="H5381" s="27"/>
      <c r="K5381"/>
      <c r="P5381" s="27"/>
      <c r="Q5381" s="27"/>
      <c r="R5381" s="27"/>
    </row>
    <row r="5382" spans="1:18">
      <c r="A5382" s="28"/>
      <c r="B5382" s="29"/>
      <c r="C5382" s="29"/>
      <c r="D5382" s="29"/>
      <c r="E5382" s="29"/>
      <c r="H5382" s="27"/>
      <c r="K5382"/>
      <c r="P5382" s="27"/>
      <c r="Q5382" s="27"/>
      <c r="R5382" s="27"/>
    </row>
    <row r="5383" spans="1:18">
      <c r="A5383" s="28"/>
      <c r="B5383" s="29"/>
      <c r="C5383" s="29"/>
      <c r="D5383" s="29"/>
      <c r="E5383" s="29"/>
      <c r="H5383" s="27"/>
      <c r="K5383"/>
      <c r="P5383" s="27"/>
      <c r="Q5383" s="27"/>
      <c r="R5383" s="27"/>
    </row>
    <row r="5384" spans="1:18">
      <c r="A5384" s="28"/>
      <c r="B5384" s="29"/>
      <c r="C5384" s="29"/>
      <c r="D5384" s="29"/>
      <c r="E5384" s="29"/>
      <c r="H5384" s="27"/>
      <c r="K5384"/>
      <c r="P5384" s="27"/>
      <c r="Q5384" s="27"/>
      <c r="R5384" s="27"/>
    </row>
    <row r="5385" spans="1:18">
      <c r="A5385" s="28"/>
      <c r="B5385" s="29"/>
      <c r="C5385" s="29"/>
      <c r="D5385" s="29"/>
      <c r="E5385" s="29"/>
      <c r="H5385" s="27"/>
      <c r="K5385"/>
      <c r="P5385" s="27"/>
      <c r="Q5385" s="27"/>
      <c r="R5385" s="27"/>
    </row>
    <row r="5386" spans="1:18">
      <c r="A5386" s="28"/>
      <c r="B5386" s="29"/>
      <c r="C5386" s="29"/>
      <c r="D5386" s="29"/>
      <c r="E5386" s="29"/>
      <c r="H5386" s="27"/>
      <c r="K5386"/>
      <c r="P5386" s="27"/>
      <c r="Q5386" s="27"/>
      <c r="R5386" s="27"/>
    </row>
    <row r="5387" spans="1:18">
      <c r="A5387" s="28"/>
      <c r="B5387" s="29"/>
      <c r="C5387" s="29"/>
      <c r="D5387" s="29"/>
      <c r="E5387" s="29"/>
      <c r="H5387" s="27"/>
      <c r="K5387"/>
      <c r="P5387" s="27"/>
      <c r="Q5387" s="27"/>
      <c r="R5387" s="27"/>
    </row>
    <row r="5388" spans="1:18">
      <c r="A5388" s="28"/>
      <c r="B5388" s="29"/>
      <c r="C5388" s="29"/>
      <c r="D5388" s="29"/>
      <c r="E5388" s="29"/>
      <c r="H5388" s="27"/>
      <c r="K5388"/>
      <c r="P5388" s="27"/>
      <c r="Q5388" s="27"/>
      <c r="R5388" s="27"/>
    </row>
    <row r="5389" spans="1:18">
      <c r="A5389" s="28"/>
      <c r="B5389" s="29"/>
      <c r="C5389" s="29"/>
      <c r="D5389" s="29"/>
      <c r="E5389" s="29"/>
      <c r="H5389" s="27"/>
      <c r="K5389"/>
      <c r="P5389" s="27"/>
      <c r="Q5389" s="27"/>
      <c r="R5389" s="27"/>
    </row>
    <row r="5390" spans="1:18">
      <c r="A5390" s="28"/>
      <c r="B5390" s="29"/>
      <c r="C5390" s="29"/>
      <c r="D5390" s="29"/>
      <c r="E5390" s="29"/>
      <c r="H5390" s="27"/>
      <c r="K5390"/>
      <c r="P5390" s="27"/>
      <c r="Q5390" s="27"/>
      <c r="R5390" s="27"/>
    </row>
    <row r="5391" spans="1:18">
      <c r="A5391" s="28"/>
      <c r="B5391" s="29"/>
      <c r="C5391" s="29"/>
      <c r="D5391" s="29"/>
      <c r="E5391" s="29"/>
      <c r="H5391" s="27"/>
      <c r="K5391"/>
      <c r="P5391" s="27"/>
      <c r="Q5391" s="27"/>
      <c r="R5391" s="27"/>
    </row>
    <row r="5392" spans="1:18">
      <c r="A5392" s="28"/>
      <c r="B5392" s="29"/>
      <c r="C5392" s="29"/>
      <c r="D5392" s="29"/>
      <c r="E5392" s="29"/>
      <c r="H5392" s="27"/>
      <c r="K5392"/>
      <c r="P5392" s="27"/>
      <c r="Q5392" s="27"/>
      <c r="R5392" s="27"/>
    </row>
    <row r="5393" spans="1:18">
      <c r="A5393" s="28"/>
      <c r="B5393" s="29"/>
      <c r="C5393" s="29"/>
      <c r="D5393" s="29"/>
      <c r="E5393" s="29"/>
      <c r="H5393" s="27"/>
      <c r="K5393"/>
      <c r="P5393" s="27"/>
      <c r="Q5393" s="27"/>
      <c r="R5393" s="27"/>
    </row>
    <row r="5394" spans="1:18">
      <c r="A5394" s="28"/>
      <c r="B5394" s="29"/>
      <c r="C5394" s="29"/>
      <c r="D5394" s="29"/>
      <c r="E5394" s="29"/>
      <c r="H5394" s="27"/>
      <c r="K5394"/>
      <c r="P5394" s="27"/>
      <c r="Q5394" s="27"/>
      <c r="R5394" s="27"/>
    </row>
    <row r="5395" spans="1:18">
      <c r="A5395" s="28"/>
      <c r="B5395" s="29"/>
      <c r="C5395" s="29"/>
      <c r="D5395" s="29"/>
      <c r="E5395" s="29"/>
      <c r="H5395" s="27"/>
      <c r="K5395"/>
      <c r="P5395" s="27"/>
      <c r="Q5395" s="27"/>
      <c r="R5395" s="27"/>
    </row>
    <row r="5396" spans="1:18">
      <c r="A5396" s="28"/>
      <c r="B5396" s="29"/>
      <c r="C5396" s="29"/>
      <c r="D5396" s="29"/>
      <c r="E5396" s="29"/>
      <c r="H5396" s="27"/>
      <c r="K5396"/>
      <c r="P5396" s="27"/>
      <c r="Q5396" s="27"/>
      <c r="R5396" s="27"/>
    </row>
    <row r="5397" spans="1:18">
      <c r="A5397" s="28"/>
      <c r="B5397" s="29"/>
      <c r="C5397" s="29"/>
      <c r="D5397" s="29"/>
      <c r="E5397" s="29"/>
      <c r="H5397" s="27"/>
      <c r="K5397"/>
      <c r="P5397" s="27"/>
      <c r="Q5397" s="27"/>
      <c r="R5397" s="27"/>
    </row>
    <row r="5398" spans="1:18">
      <c r="A5398" s="28"/>
      <c r="B5398" s="29"/>
      <c r="C5398" s="29"/>
      <c r="D5398" s="29"/>
      <c r="E5398" s="29"/>
      <c r="H5398" s="27"/>
      <c r="K5398"/>
      <c r="P5398" s="27"/>
      <c r="Q5398" s="27"/>
      <c r="R5398" s="27"/>
    </row>
    <row r="5399" spans="1:18">
      <c r="A5399" s="28"/>
      <c r="B5399" s="29"/>
      <c r="C5399" s="29"/>
      <c r="D5399" s="29"/>
      <c r="E5399" s="29"/>
      <c r="H5399" s="27"/>
      <c r="K5399"/>
      <c r="P5399" s="27"/>
      <c r="Q5399" s="27"/>
      <c r="R5399" s="27"/>
    </row>
    <row r="5400" spans="1:18">
      <c r="A5400" s="28"/>
      <c r="B5400" s="29"/>
      <c r="C5400" s="29"/>
      <c r="D5400" s="29"/>
      <c r="E5400" s="29"/>
      <c r="H5400" s="27"/>
      <c r="K5400"/>
      <c r="P5400" s="27"/>
      <c r="Q5400" s="27"/>
      <c r="R5400" s="27"/>
    </row>
    <row r="5401" spans="1:18">
      <c r="A5401" s="28"/>
      <c r="B5401" s="29"/>
      <c r="C5401" s="29"/>
      <c r="D5401" s="29"/>
      <c r="E5401" s="29"/>
      <c r="H5401" s="27"/>
      <c r="K5401"/>
      <c r="P5401" s="27"/>
      <c r="Q5401" s="27"/>
      <c r="R5401" s="27"/>
    </row>
    <row r="5402" spans="1:18">
      <c r="A5402" s="28"/>
      <c r="B5402" s="29"/>
      <c r="C5402" s="29"/>
      <c r="D5402" s="29"/>
      <c r="E5402" s="29"/>
      <c r="H5402" s="27"/>
      <c r="K5402"/>
      <c r="P5402" s="27"/>
      <c r="Q5402" s="27"/>
      <c r="R5402" s="27"/>
    </row>
    <row r="5403" spans="1:18">
      <c r="A5403" s="28"/>
      <c r="B5403" s="29"/>
      <c r="C5403" s="29"/>
      <c r="D5403" s="29"/>
      <c r="E5403" s="29"/>
      <c r="H5403" s="27"/>
      <c r="K5403"/>
      <c r="P5403" s="27"/>
      <c r="Q5403" s="27"/>
      <c r="R5403" s="27"/>
    </row>
    <row r="5404" spans="1:18">
      <c r="A5404" s="28"/>
      <c r="B5404" s="29"/>
      <c r="C5404" s="29"/>
      <c r="D5404" s="29"/>
      <c r="E5404" s="29"/>
      <c r="H5404" s="27"/>
      <c r="K5404"/>
      <c r="P5404" s="27"/>
      <c r="Q5404" s="27"/>
      <c r="R5404" s="27"/>
    </row>
    <row r="5405" spans="1:18">
      <c r="A5405" s="28"/>
      <c r="B5405" s="29"/>
      <c r="C5405" s="29"/>
      <c r="D5405" s="29"/>
      <c r="E5405" s="29"/>
      <c r="H5405" s="27"/>
      <c r="K5405"/>
      <c r="P5405" s="27"/>
      <c r="Q5405" s="27"/>
      <c r="R5405" s="27"/>
    </row>
    <row r="5406" spans="1:18">
      <c r="A5406" s="28"/>
      <c r="B5406" s="29"/>
      <c r="C5406" s="29"/>
      <c r="D5406" s="29"/>
      <c r="E5406" s="29"/>
      <c r="H5406" s="27"/>
      <c r="K5406"/>
      <c r="P5406" s="27"/>
      <c r="Q5406" s="27"/>
      <c r="R5406" s="27"/>
    </row>
    <row r="5407" spans="1:18">
      <c r="A5407" s="28"/>
      <c r="B5407" s="29"/>
      <c r="C5407" s="29"/>
      <c r="D5407" s="29"/>
      <c r="E5407" s="29"/>
      <c r="H5407" s="27"/>
      <c r="K5407"/>
      <c r="P5407" s="27"/>
      <c r="Q5407" s="27"/>
      <c r="R5407" s="27"/>
    </row>
    <row r="5408" spans="1:18">
      <c r="A5408" s="28"/>
      <c r="B5408" s="29"/>
      <c r="C5408" s="29"/>
      <c r="D5408" s="29"/>
      <c r="E5408" s="29"/>
      <c r="H5408" s="27"/>
      <c r="K5408"/>
      <c r="P5408" s="27"/>
      <c r="Q5408" s="27"/>
      <c r="R5408" s="27"/>
    </row>
    <row r="5409" spans="1:18">
      <c r="A5409" s="28"/>
      <c r="B5409" s="29"/>
      <c r="C5409" s="29"/>
      <c r="D5409" s="29"/>
      <c r="E5409" s="29"/>
      <c r="H5409" s="27"/>
      <c r="K5409"/>
      <c r="P5409" s="27"/>
      <c r="Q5409" s="27"/>
      <c r="R5409" s="27"/>
    </row>
    <row r="5410" spans="1:18">
      <c r="A5410" s="28"/>
      <c r="B5410" s="29"/>
      <c r="C5410" s="29"/>
      <c r="D5410" s="29"/>
      <c r="E5410" s="29"/>
      <c r="H5410" s="27"/>
      <c r="K5410"/>
      <c r="P5410" s="27"/>
      <c r="Q5410" s="27"/>
      <c r="R5410" s="27"/>
    </row>
    <row r="5411" spans="1:18">
      <c r="A5411" s="28"/>
      <c r="B5411" s="29"/>
      <c r="C5411" s="29"/>
      <c r="D5411" s="29"/>
      <c r="E5411" s="29"/>
      <c r="H5411" s="27"/>
      <c r="K5411"/>
      <c r="P5411" s="27"/>
      <c r="Q5411" s="27"/>
      <c r="R5411" s="27"/>
    </row>
    <row r="5412" spans="1:18">
      <c r="A5412" s="28"/>
      <c r="B5412" s="29"/>
      <c r="C5412" s="29"/>
      <c r="D5412" s="29"/>
      <c r="E5412" s="29"/>
      <c r="H5412" s="27"/>
      <c r="K5412"/>
      <c r="P5412" s="27"/>
      <c r="Q5412" s="27"/>
      <c r="R5412" s="27"/>
    </row>
    <row r="5413" spans="1:18">
      <c r="A5413" s="28"/>
      <c r="B5413" s="29"/>
      <c r="C5413" s="29"/>
      <c r="D5413" s="29"/>
      <c r="E5413" s="29"/>
      <c r="H5413" s="27"/>
      <c r="K5413"/>
      <c r="P5413" s="27"/>
      <c r="Q5413" s="27"/>
      <c r="R5413" s="27"/>
    </row>
    <row r="5414" spans="1:18">
      <c r="A5414" s="28"/>
      <c r="B5414" s="29"/>
      <c r="C5414" s="29"/>
      <c r="D5414" s="29"/>
      <c r="E5414" s="29"/>
      <c r="H5414" s="27"/>
      <c r="K5414"/>
      <c r="P5414" s="27"/>
      <c r="Q5414" s="27"/>
      <c r="R5414" s="27"/>
    </row>
    <row r="5415" spans="1:18">
      <c r="A5415" s="28"/>
      <c r="B5415" s="29"/>
      <c r="C5415" s="29"/>
      <c r="D5415" s="29"/>
      <c r="E5415" s="29"/>
      <c r="H5415" s="27"/>
      <c r="K5415"/>
      <c r="P5415" s="27"/>
      <c r="Q5415" s="27"/>
      <c r="R5415" s="27"/>
    </row>
    <row r="5416" spans="1:18">
      <c r="A5416" s="28"/>
      <c r="B5416" s="29"/>
      <c r="C5416" s="29"/>
      <c r="D5416" s="29"/>
      <c r="E5416" s="29"/>
      <c r="H5416" s="27"/>
      <c r="K5416"/>
      <c r="P5416" s="27"/>
      <c r="Q5416" s="27"/>
      <c r="R5416" s="27"/>
    </row>
    <row r="5417" spans="1:18">
      <c r="A5417" s="28"/>
      <c r="B5417" s="29"/>
      <c r="C5417" s="29"/>
      <c r="D5417" s="29"/>
      <c r="E5417" s="29"/>
      <c r="H5417" s="27"/>
      <c r="K5417"/>
      <c r="P5417" s="27"/>
      <c r="Q5417" s="27"/>
      <c r="R5417" s="27"/>
    </row>
    <row r="5418" spans="1:18">
      <c r="A5418" s="28"/>
      <c r="B5418" s="29"/>
      <c r="C5418" s="29"/>
      <c r="D5418" s="29"/>
      <c r="E5418" s="29"/>
      <c r="H5418" s="27"/>
      <c r="K5418"/>
      <c r="P5418" s="27"/>
      <c r="Q5418" s="27"/>
      <c r="R5418" s="27"/>
    </row>
    <row r="5419" spans="1:18">
      <c r="A5419" s="28"/>
      <c r="B5419" s="29"/>
      <c r="C5419" s="29"/>
      <c r="D5419" s="29"/>
      <c r="E5419" s="29"/>
      <c r="H5419" s="27"/>
      <c r="K5419"/>
      <c r="P5419" s="27"/>
      <c r="Q5419" s="27"/>
      <c r="R5419" s="27"/>
    </row>
    <row r="5420" spans="1:18">
      <c r="A5420" s="28"/>
      <c r="B5420" s="29"/>
      <c r="C5420" s="29"/>
      <c r="D5420" s="29"/>
      <c r="E5420" s="29"/>
      <c r="H5420" s="27"/>
      <c r="K5420"/>
      <c r="P5420" s="27"/>
      <c r="Q5420" s="27"/>
      <c r="R5420" s="27"/>
    </row>
    <row r="5421" spans="1:18">
      <c r="A5421" s="28"/>
      <c r="B5421" s="29"/>
      <c r="C5421" s="29"/>
      <c r="D5421" s="29"/>
      <c r="E5421" s="29"/>
      <c r="H5421" s="27"/>
      <c r="K5421"/>
      <c r="P5421" s="27"/>
      <c r="Q5421" s="27"/>
      <c r="R5421" s="27"/>
    </row>
    <row r="5422" spans="1:18">
      <c r="A5422" s="28"/>
      <c r="B5422" s="29"/>
      <c r="C5422" s="29"/>
      <c r="D5422" s="29"/>
      <c r="E5422" s="29"/>
      <c r="H5422" s="27"/>
      <c r="K5422"/>
      <c r="P5422" s="27"/>
      <c r="Q5422" s="27"/>
      <c r="R5422" s="27"/>
    </row>
    <row r="5423" spans="1:18">
      <c r="A5423" s="28"/>
      <c r="B5423" s="29"/>
      <c r="C5423" s="29"/>
      <c r="D5423" s="29"/>
      <c r="E5423" s="29"/>
      <c r="H5423" s="27"/>
      <c r="K5423"/>
      <c r="P5423" s="27"/>
      <c r="Q5423" s="27"/>
      <c r="R5423" s="27"/>
    </row>
    <row r="5424" spans="1:18">
      <c r="A5424" s="28"/>
      <c r="B5424" s="29"/>
      <c r="C5424" s="29"/>
      <c r="D5424" s="29"/>
      <c r="E5424" s="29"/>
      <c r="H5424" s="27"/>
      <c r="K5424"/>
      <c r="P5424" s="27"/>
      <c r="Q5424" s="27"/>
      <c r="R5424" s="27"/>
    </row>
    <row r="5425" spans="1:18">
      <c r="A5425" s="28"/>
      <c r="B5425" s="29"/>
      <c r="C5425" s="29"/>
      <c r="D5425" s="29"/>
      <c r="E5425" s="29"/>
      <c r="H5425" s="27"/>
      <c r="K5425"/>
      <c r="P5425" s="27"/>
      <c r="Q5425" s="27"/>
      <c r="R5425" s="27"/>
    </row>
    <row r="5426" spans="1:18">
      <c r="A5426" s="28"/>
      <c r="B5426" s="29"/>
      <c r="C5426" s="29"/>
      <c r="D5426" s="29"/>
      <c r="E5426" s="29"/>
      <c r="H5426" s="27"/>
      <c r="K5426"/>
      <c r="P5426" s="27"/>
      <c r="Q5426" s="27"/>
      <c r="R5426" s="27"/>
    </row>
    <row r="5427" spans="1:18">
      <c r="A5427" s="28"/>
      <c r="B5427" s="29"/>
      <c r="C5427" s="29"/>
      <c r="D5427" s="29"/>
      <c r="E5427" s="29"/>
      <c r="H5427" s="27"/>
      <c r="K5427"/>
      <c r="P5427" s="27"/>
      <c r="Q5427" s="27"/>
      <c r="R5427" s="27"/>
    </row>
    <row r="5428" spans="1:18">
      <c r="A5428" s="28"/>
      <c r="B5428" s="29"/>
      <c r="C5428" s="29"/>
      <c r="D5428" s="29"/>
      <c r="E5428" s="29"/>
      <c r="H5428" s="27"/>
      <c r="K5428"/>
      <c r="P5428" s="27"/>
      <c r="Q5428" s="27"/>
      <c r="R5428" s="27"/>
    </row>
    <row r="5429" spans="1:18">
      <c r="A5429" s="28"/>
      <c r="B5429" s="29"/>
      <c r="C5429" s="29"/>
      <c r="D5429" s="29"/>
      <c r="E5429" s="29"/>
      <c r="H5429" s="27"/>
      <c r="K5429"/>
      <c r="P5429" s="27"/>
      <c r="Q5429" s="27"/>
      <c r="R5429" s="27"/>
    </row>
    <row r="5430" spans="1:18">
      <c r="A5430" s="28"/>
      <c r="B5430" s="29"/>
      <c r="C5430" s="29"/>
      <c r="D5430" s="29"/>
      <c r="E5430" s="29"/>
      <c r="H5430" s="27"/>
      <c r="K5430"/>
      <c r="P5430" s="27"/>
      <c r="Q5430" s="27"/>
      <c r="R5430" s="27"/>
    </row>
    <row r="5431" spans="1:18">
      <c r="A5431" s="28"/>
      <c r="B5431" s="29"/>
      <c r="C5431" s="29"/>
      <c r="D5431" s="29"/>
      <c r="E5431" s="29"/>
      <c r="H5431" s="27"/>
      <c r="K5431"/>
      <c r="P5431" s="27"/>
      <c r="Q5431" s="27"/>
      <c r="R5431" s="27"/>
    </row>
    <row r="5432" spans="1:18">
      <c r="A5432" s="28"/>
      <c r="B5432" s="29"/>
      <c r="C5432" s="29"/>
      <c r="D5432" s="29"/>
      <c r="E5432" s="29"/>
      <c r="H5432" s="27"/>
      <c r="K5432"/>
      <c r="P5432" s="27"/>
      <c r="Q5432" s="27"/>
      <c r="R5432" s="27"/>
    </row>
    <row r="5433" spans="1:18">
      <c r="A5433" s="28"/>
      <c r="B5433" s="29"/>
      <c r="C5433" s="29"/>
      <c r="D5433" s="29"/>
      <c r="E5433" s="29"/>
      <c r="H5433" s="27"/>
      <c r="K5433"/>
      <c r="P5433" s="27"/>
      <c r="Q5433" s="27"/>
      <c r="R5433" s="27"/>
    </row>
    <row r="5434" spans="1:18">
      <c r="A5434" s="28"/>
      <c r="B5434" s="29"/>
      <c r="C5434" s="29"/>
      <c r="D5434" s="29"/>
      <c r="E5434" s="29"/>
      <c r="H5434" s="27"/>
      <c r="K5434"/>
      <c r="P5434" s="27"/>
      <c r="Q5434" s="27"/>
      <c r="R5434" s="27"/>
    </row>
    <row r="5435" spans="1:18">
      <c r="A5435" s="28"/>
      <c r="B5435" s="29"/>
      <c r="C5435" s="29"/>
      <c r="D5435" s="29"/>
      <c r="E5435" s="29"/>
      <c r="H5435" s="27"/>
      <c r="K5435"/>
      <c r="P5435" s="27"/>
      <c r="Q5435" s="27"/>
      <c r="R5435" s="27"/>
    </row>
    <row r="5436" spans="1:18">
      <c r="A5436" s="28"/>
      <c r="B5436" s="29"/>
      <c r="C5436" s="29"/>
      <c r="D5436" s="29"/>
      <c r="E5436" s="29"/>
      <c r="H5436" s="27"/>
      <c r="K5436"/>
      <c r="P5436" s="27"/>
      <c r="Q5436" s="27"/>
      <c r="R5436" s="27"/>
    </row>
    <row r="5437" spans="1:18">
      <c r="A5437" s="28"/>
      <c r="B5437" s="29"/>
      <c r="C5437" s="29"/>
      <c r="D5437" s="29"/>
      <c r="E5437" s="29"/>
      <c r="H5437" s="27"/>
      <c r="K5437"/>
      <c r="P5437" s="27"/>
      <c r="Q5437" s="27"/>
      <c r="R5437" s="27"/>
    </row>
    <row r="5438" spans="1:18">
      <c r="A5438" s="28"/>
      <c r="B5438" s="29"/>
      <c r="C5438" s="29"/>
      <c r="D5438" s="29"/>
      <c r="E5438" s="29"/>
      <c r="H5438" s="27"/>
      <c r="K5438"/>
      <c r="P5438" s="27"/>
      <c r="Q5438" s="27"/>
      <c r="R5438" s="27"/>
    </row>
    <row r="5439" spans="1:18">
      <c r="A5439" s="28"/>
      <c r="B5439" s="29"/>
      <c r="C5439" s="29"/>
      <c r="D5439" s="29"/>
      <c r="E5439" s="29"/>
      <c r="H5439" s="27"/>
      <c r="K5439"/>
      <c r="P5439" s="27"/>
      <c r="Q5439" s="27"/>
      <c r="R5439" s="27"/>
    </row>
    <row r="5440" spans="1:18">
      <c r="A5440" s="28"/>
      <c r="B5440" s="29"/>
      <c r="C5440" s="29"/>
      <c r="D5440" s="29"/>
      <c r="E5440" s="29"/>
      <c r="H5440" s="27"/>
      <c r="K5440"/>
      <c r="P5440" s="27"/>
      <c r="Q5440" s="27"/>
      <c r="R5440" s="27"/>
    </row>
    <row r="5441" spans="1:18">
      <c r="A5441" s="28"/>
      <c r="B5441" s="29"/>
      <c r="C5441" s="29"/>
      <c r="D5441" s="29"/>
      <c r="E5441" s="29"/>
      <c r="H5441" s="27"/>
      <c r="K5441"/>
      <c r="P5441" s="27"/>
      <c r="Q5441" s="27"/>
      <c r="R5441" s="27"/>
    </row>
    <row r="5442" spans="1:18">
      <c r="A5442" s="28"/>
      <c r="B5442" s="29"/>
      <c r="C5442" s="29"/>
      <c r="D5442" s="29"/>
      <c r="E5442" s="29"/>
      <c r="H5442" s="27"/>
      <c r="K5442"/>
      <c r="P5442" s="27"/>
      <c r="Q5442" s="27"/>
      <c r="R5442" s="27"/>
    </row>
    <row r="5443" spans="1:18">
      <c r="A5443" s="28"/>
      <c r="B5443" s="29"/>
      <c r="C5443" s="29"/>
      <c r="D5443" s="29"/>
      <c r="E5443" s="29"/>
      <c r="H5443" s="27"/>
      <c r="K5443"/>
      <c r="P5443" s="27"/>
      <c r="Q5443" s="27"/>
      <c r="R5443" s="27"/>
    </row>
    <row r="5444" spans="1:18">
      <c r="A5444" s="28"/>
      <c r="B5444" s="29"/>
      <c r="C5444" s="29"/>
      <c r="D5444" s="29"/>
      <c r="E5444" s="29"/>
      <c r="H5444" s="27"/>
      <c r="K5444"/>
      <c r="P5444" s="27"/>
      <c r="Q5444" s="27"/>
      <c r="R5444" s="27"/>
    </row>
    <row r="5445" spans="1:18">
      <c r="A5445" s="28"/>
      <c r="B5445" s="29"/>
      <c r="C5445" s="29"/>
      <c r="D5445" s="29"/>
      <c r="E5445" s="29"/>
      <c r="H5445" s="27"/>
      <c r="K5445"/>
      <c r="P5445" s="27"/>
      <c r="Q5445" s="27"/>
      <c r="R5445" s="27"/>
    </row>
    <row r="5446" spans="1:18">
      <c r="A5446" s="28"/>
      <c r="B5446" s="29"/>
      <c r="C5446" s="29"/>
      <c r="D5446" s="29"/>
      <c r="E5446" s="29"/>
      <c r="H5446" s="27"/>
      <c r="K5446"/>
      <c r="P5446" s="27"/>
      <c r="Q5446" s="27"/>
      <c r="R5446" s="27"/>
    </row>
    <row r="5447" spans="1:18">
      <c r="A5447" s="28"/>
      <c r="B5447" s="29"/>
      <c r="C5447" s="29"/>
      <c r="D5447" s="29"/>
      <c r="E5447" s="29"/>
      <c r="H5447" s="27"/>
      <c r="K5447"/>
      <c r="P5447" s="27"/>
      <c r="Q5447" s="27"/>
      <c r="R5447" s="27"/>
    </row>
    <row r="5448" spans="1:18">
      <c r="A5448" s="28"/>
      <c r="B5448" s="29"/>
      <c r="C5448" s="29"/>
      <c r="D5448" s="29"/>
      <c r="E5448" s="29"/>
      <c r="H5448" s="27"/>
      <c r="K5448"/>
      <c r="P5448" s="27"/>
      <c r="Q5448" s="27"/>
      <c r="R5448" s="27"/>
    </row>
    <row r="5449" spans="1:18">
      <c r="A5449" s="28"/>
      <c r="B5449" s="29"/>
      <c r="C5449" s="29"/>
      <c r="D5449" s="29"/>
      <c r="E5449" s="29"/>
      <c r="H5449" s="27"/>
      <c r="K5449"/>
      <c r="P5449" s="27"/>
      <c r="Q5449" s="27"/>
      <c r="R5449" s="27"/>
    </row>
    <row r="5450" spans="1:18">
      <c r="A5450" s="28"/>
      <c r="B5450" s="29"/>
      <c r="C5450" s="29"/>
      <c r="D5450" s="29"/>
      <c r="E5450" s="29"/>
      <c r="H5450" s="27"/>
      <c r="K5450"/>
      <c r="P5450" s="27"/>
      <c r="Q5450" s="27"/>
      <c r="R5450" s="27"/>
    </row>
    <row r="5451" spans="1:18">
      <c r="A5451" s="28"/>
      <c r="B5451" s="29"/>
      <c r="C5451" s="29"/>
      <c r="D5451" s="29"/>
      <c r="E5451" s="29"/>
      <c r="H5451" s="27"/>
      <c r="K5451"/>
      <c r="P5451" s="27"/>
      <c r="Q5451" s="27"/>
      <c r="R5451" s="27"/>
    </row>
    <row r="5452" spans="1:18">
      <c r="A5452" s="28"/>
      <c r="B5452" s="29"/>
      <c r="C5452" s="29"/>
      <c r="D5452" s="29"/>
      <c r="E5452" s="29"/>
      <c r="H5452" s="27"/>
      <c r="K5452"/>
      <c r="P5452" s="27"/>
      <c r="Q5452" s="27"/>
      <c r="R5452" s="27"/>
    </row>
    <row r="5453" spans="1:18">
      <c r="A5453" s="28"/>
      <c r="B5453" s="29"/>
      <c r="C5453" s="29"/>
      <c r="D5453" s="29"/>
      <c r="E5453" s="29"/>
      <c r="H5453" s="27"/>
      <c r="K5453"/>
      <c r="P5453" s="27"/>
      <c r="Q5453" s="27"/>
      <c r="R5453" s="27"/>
    </row>
    <row r="5454" spans="1:18">
      <c r="A5454" s="28"/>
      <c r="B5454" s="29"/>
      <c r="C5454" s="29"/>
      <c r="D5454" s="29"/>
      <c r="E5454" s="29"/>
      <c r="H5454" s="27"/>
      <c r="K5454"/>
      <c r="P5454" s="27"/>
      <c r="Q5454" s="27"/>
      <c r="R5454" s="27"/>
    </row>
    <row r="5455" spans="1:18">
      <c r="A5455" s="28"/>
      <c r="B5455" s="29"/>
      <c r="C5455" s="29"/>
      <c r="D5455" s="29"/>
      <c r="E5455" s="29"/>
      <c r="H5455" s="27"/>
      <c r="K5455"/>
      <c r="P5455" s="27"/>
      <c r="Q5455" s="27"/>
      <c r="R5455" s="27"/>
    </row>
    <row r="5456" spans="1:18">
      <c r="A5456" s="28"/>
      <c r="B5456" s="29"/>
      <c r="C5456" s="29"/>
      <c r="D5456" s="29"/>
      <c r="E5456" s="29"/>
      <c r="H5456" s="27"/>
      <c r="K5456"/>
      <c r="P5456" s="27"/>
      <c r="Q5456" s="27"/>
      <c r="R5456" s="27"/>
    </row>
    <row r="5457" spans="1:18">
      <c r="A5457" s="28"/>
      <c r="B5457" s="29"/>
      <c r="C5457" s="29"/>
      <c r="D5457" s="29"/>
      <c r="E5457" s="29"/>
      <c r="H5457" s="27"/>
      <c r="K5457"/>
      <c r="P5457" s="27"/>
      <c r="Q5457" s="27"/>
      <c r="R5457" s="27"/>
    </row>
    <row r="5458" spans="1:18">
      <c r="A5458" s="28"/>
      <c r="B5458" s="29"/>
      <c r="C5458" s="29"/>
      <c r="D5458" s="29"/>
      <c r="E5458" s="29"/>
      <c r="H5458" s="27"/>
      <c r="K5458"/>
      <c r="P5458" s="27"/>
      <c r="Q5458" s="27"/>
      <c r="R5458" s="27"/>
    </row>
    <row r="5459" spans="1:18">
      <c r="A5459" s="28"/>
      <c r="B5459" s="29"/>
      <c r="C5459" s="29"/>
      <c r="D5459" s="29"/>
      <c r="E5459" s="29"/>
      <c r="H5459" s="27"/>
      <c r="K5459"/>
      <c r="P5459" s="27"/>
      <c r="Q5459" s="27"/>
      <c r="R5459" s="27"/>
    </row>
    <row r="5460" spans="1:18">
      <c r="A5460" s="28"/>
      <c r="B5460" s="29"/>
      <c r="C5460" s="29"/>
      <c r="D5460" s="29"/>
      <c r="E5460" s="29"/>
      <c r="H5460" s="27"/>
      <c r="K5460"/>
      <c r="P5460" s="27"/>
      <c r="Q5460" s="27"/>
      <c r="R5460" s="27"/>
    </row>
    <row r="5461" spans="1:18">
      <c r="A5461" s="28"/>
      <c r="B5461" s="29"/>
      <c r="C5461" s="29"/>
      <c r="D5461" s="29"/>
      <c r="E5461" s="29"/>
      <c r="H5461" s="27"/>
      <c r="K5461"/>
      <c r="P5461" s="27"/>
      <c r="Q5461" s="27"/>
      <c r="R5461" s="27"/>
    </row>
    <row r="5462" spans="1:18">
      <c r="A5462" s="28"/>
      <c r="B5462" s="29"/>
      <c r="C5462" s="29"/>
      <c r="D5462" s="29"/>
      <c r="E5462" s="29"/>
      <c r="H5462" s="27"/>
      <c r="K5462"/>
      <c r="P5462" s="27"/>
      <c r="Q5462" s="27"/>
      <c r="R5462" s="27"/>
    </row>
    <row r="5463" spans="1:18">
      <c r="A5463" s="28"/>
      <c r="B5463" s="29"/>
      <c r="C5463" s="29"/>
      <c r="D5463" s="29"/>
      <c r="E5463" s="29"/>
      <c r="H5463" s="27"/>
      <c r="K5463"/>
      <c r="P5463" s="27"/>
      <c r="Q5463" s="27"/>
      <c r="R5463" s="27"/>
    </row>
    <row r="5464" spans="1:18">
      <c r="A5464" s="28"/>
      <c r="B5464" s="29"/>
      <c r="C5464" s="29"/>
      <c r="D5464" s="29"/>
      <c r="E5464" s="29"/>
      <c r="H5464" s="27"/>
      <c r="K5464"/>
      <c r="P5464" s="27"/>
      <c r="Q5464" s="27"/>
      <c r="R5464" s="27"/>
    </row>
    <row r="5465" spans="1:18">
      <c r="A5465" s="28"/>
      <c r="B5465" s="29"/>
      <c r="C5465" s="29"/>
      <c r="D5465" s="29"/>
      <c r="E5465" s="29"/>
      <c r="H5465" s="27"/>
      <c r="K5465"/>
      <c r="P5465" s="27"/>
      <c r="Q5465" s="27"/>
      <c r="R5465" s="27"/>
    </row>
    <row r="5466" spans="1:18">
      <c r="A5466" s="28"/>
      <c r="B5466" s="29"/>
      <c r="C5466" s="29"/>
      <c r="D5466" s="29"/>
      <c r="E5466" s="29"/>
      <c r="H5466" s="27"/>
      <c r="K5466"/>
      <c r="P5466" s="27"/>
      <c r="Q5466" s="27"/>
      <c r="R5466" s="27"/>
    </row>
    <row r="5467" spans="1:18">
      <c r="A5467" s="28"/>
      <c r="B5467" s="29"/>
      <c r="C5467" s="29"/>
      <c r="D5467" s="29"/>
      <c r="E5467" s="29"/>
      <c r="H5467" s="27"/>
      <c r="K5467"/>
      <c r="P5467" s="27"/>
      <c r="Q5467" s="27"/>
      <c r="R5467" s="27"/>
    </row>
    <row r="5468" spans="1:18">
      <c r="A5468" s="28"/>
      <c r="B5468" s="29"/>
      <c r="C5468" s="29"/>
      <c r="D5468" s="29"/>
      <c r="E5468" s="29"/>
      <c r="H5468" s="27"/>
      <c r="K5468"/>
      <c r="P5468" s="27"/>
      <c r="Q5468" s="27"/>
      <c r="R5468" s="27"/>
    </row>
    <row r="5469" spans="1:18">
      <c r="A5469" s="28"/>
      <c r="B5469" s="29"/>
      <c r="C5469" s="29"/>
      <c r="D5469" s="29"/>
      <c r="E5469" s="29"/>
      <c r="H5469" s="27"/>
      <c r="K5469"/>
      <c r="P5469" s="27"/>
      <c r="Q5469" s="27"/>
      <c r="R5469" s="27"/>
    </row>
    <row r="5470" spans="1:18">
      <c r="A5470" s="28"/>
      <c r="B5470" s="29"/>
      <c r="C5470" s="29"/>
      <c r="D5470" s="29"/>
      <c r="E5470" s="29"/>
      <c r="H5470" s="27"/>
      <c r="K5470"/>
      <c r="P5470" s="27"/>
      <c r="Q5470" s="27"/>
      <c r="R5470" s="27"/>
    </row>
    <row r="5471" spans="1:18">
      <c r="A5471" s="28"/>
      <c r="B5471" s="29"/>
      <c r="C5471" s="29"/>
      <c r="D5471" s="29"/>
      <c r="E5471" s="29"/>
      <c r="H5471" s="27"/>
      <c r="K5471"/>
      <c r="P5471" s="27"/>
      <c r="Q5471" s="27"/>
      <c r="R5471" s="27"/>
    </row>
    <row r="5472" spans="1:18">
      <c r="A5472" s="28"/>
      <c r="B5472" s="29"/>
      <c r="C5472" s="29"/>
      <c r="D5472" s="29"/>
      <c r="E5472" s="29"/>
      <c r="H5472" s="27"/>
      <c r="K5472"/>
      <c r="P5472" s="27"/>
      <c r="Q5472" s="27"/>
      <c r="R5472" s="27"/>
    </row>
    <row r="5473" spans="1:18">
      <c r="A5473" s="28"/>
      <c r="B5473" s="29"/>
      <c r="C5473" s="29"/>
      <c r="D5473" s="29"/>
      <c r="E5473" s="29"/>
      <c r="H5473" s="27"/>
      <c r="K5473"/>
      <c r="P5473" s="27"/>
      <c r="Q5473" s="27"/>
      <c r="R5473" s="27"/>
    </row>
    <row r="5474" spans="1:18">
      <c r="A5474" s="28"/>
      <c r="B5474" s="29"/>
      <c r="C5474" s="29"/>
      <c r="D5474" s="29"/>
      <c r="E5474" s="29"/>
      <c r="H5474" s="27"/>
      <c r="K5474"/>
      <c r="P5474" s="27"/>
      <c r="Q5474" s="27"/>
      <c r="R5474" s="27"/>
    </row>
    <row r="5475" spans="1:18">
      <c r="A5475" s="28"/>
      <c r="B5475" s="29"/>
      <c r="C5475" s="29"/>
      <c r="D5475" s="29"/>
      <c r="E5475" s="29"/>
      <c r="H5475" s="27"/>
      <c r="K5475"/>
      <c r="P5475" s="27"/>
      <c r="Q5475" s="27"/>
      <c r="R5475" s="27"/>
    </row>
    <row r="5476" spans="1:18">
      <c r="A5476" s="28"/>
      <c r="B5476" s="29"/>
      <c r="C5476" s="29"/>
      <c r="D5476" s="29"/>
      <c r="E5476" s="29"/>
      <c r="H5476" s="27"/>
      <c r="K5476"/>
      <c r="P5476" s="27"/>
      <c r="Q5476" s="27"/>
      <c r="R5476" s="27"/>
    </row>
    <row r="5477" spans="1:18">
      <c r="A5477" s="28"/>
      <c r="B5477" s="29"/>
      <c r="C5477" s="29"/>
      <c r="D5477" s="29"/>
      <c r="E5477" s="29"/>
      <c r="H5477" s="27"/>
      <c r="K5477"/>
      <c r="P5477" s="27"/>
      <c r="Q5477" s="27"/>
      <c r="R5477" s="27"/>
    </row>
    <row r="5478" spans="1:18">
      <c r="A5478" s="28"/>
      <c r="B5478" s="29"/>
      <c r="C5478" s="29"/>
      <c r="D5478" s="29"/>
      <c r="E5478" s="29"/>
      <c r="H5478" s="27"/>
      <c r="K5478"/>
      <c r="P5478" s="27"/>
      <c r="Q5478" s="27"/>
      <c r="R5478" s="27"/>
    </row>
    <row r="5479" spans="1:18">
      <c r="A5479" s="28"/>
      <c r="B5479" s="29"/>
      <c r="C5479" s="29"/>
      <c r="D5479" s="29"/>
      <c r="E5479" s="29"/>
      <c r="H5479" s="27"/>
      <c r="K5479"/>
      <c r="P5479" s="27"/>
      <c r="Q5479" s="27"/>
      <c r="R5479" s="27"/>
    </row>
    <row r="5480" spans="1:18">
      <c r="A5480" s="28"/>
      <c r="B5480" s="29"/>
      <c r="C5480" s="29"/>
      <c r="D5480" s="29"/>
      <c r="E5480" s="29"/>
      <c r="H5480" s="27"/>
      <c r="K5480"/>
      <c r="P5480" s="27"/>
      <c r="Q5480" s="27"/>
      <c r="R5480" s="27"/>
    </row>
    <row r="5481" spans="1:18">
      <c r="A5481" s="28"/>
      <c r="B5481" s="29"/>
      <c r="C5481" s="29"/>
      <c r="D5481" s="29"/>
      <c r="E5481" s="29"/>
      <c r="H5481" s="27"/>
      <c r="K5481"/>
      <c r="P5481" s="27"/>
      <c r="Q5481" s="27"/>
      <c r="R5481" s="27"/>
    </row>
    <row r="5482" spans="1:18">
      <c r="A5482" s="28"/>
      <c r="B5482" s="29"/>
      <c r="C5482" s="29"/>
      <c r="D5482" s="29"/>
      <c r="E5482" s="29"/>
      <c r="H5482" s="27"/>
      <c r="K5482"/>
      <c r="P5482" s="27"/>
      <c r="Q5482" s="27"/>
      <c r="R5482" s="27"/>
    </row>
    <row r="5483" spans="1:18">
      <c r="A5483" s="28"/>
      <c r="B5483" s="29"/>
      <c r="C5483" s="29"/>
      <c r="D5483" s="29"/>
      <c r="E5483" s="29"/>
      <c r="H5483" s="27"/>
      <c r="K5483"/>
      <c r="P5483" s="27"/>
      <c r="Q5483" s="27"/>
      <c r="R5483" s="27"/>
    </row>
    <row r="5484" spans="1:18">
      <c r="A5484" s="28"/>
      <c r="B5484" s="29"/>
      <c r="C5484" s="29"/>
      <c r="D5484" s="29"/>
      <c r="E5484" s="29"/>
      <c r="H5484" s="27"/>
      <c r="K5484"/>
      <c r="P5484" s="27"/>
      <c r="Q5484" s="27"/>
      <c r="R5484" s="27"/>
    </row>
    <row r="5485" spans="1:18">
      <c r="A5485" s="28"/>
      <c r="B5485" s="29"/>
      <c r="C5485" s="29"/>
      <c r="D5485" s="29"/>
      <c r="E5485" s="29"/>
      <c r="H5485" s="27"/>
      <c r="K5485"/>
      <c r="P5485" s="27"/>
      <c r="Q5485" s="27"/>
      <c r="R5485" s="27"/>
    </row>
    <row r="5486" spans="1:18">
      <c r="A5486" s="28"/>
      <c r="B5486" s="29"/>
      <c r="C5486" s="29"/>
      <c r="D5486" s="29"/>
      <c r="E5486" s="29"/>
      <c r="H5486" s="27"/>
      <c r="K5486"/>
      <c r="P5486" s="27"/>
      <c r="Q5486" s="27"/>
      <c r="R5486" s="27"/>
    </row>
    <row r="5487" spans="1:18">
      <c r="A5487" s="28"/>
      <c r="B5487" s="29"/>
      <c r="C5487" s="29"/>
      <c r="D5487" s="29"/>
      <c r="E5487" s="29"/>
      <c r="H5487" s="27"/>
      <c r="K5487"/>
      <c r="P5487" s="27"/>
      <c r="Q5487" s="27"/>
      <c r="R5487" s="27"/>
    </row>
    <row r="5488" spans="1:18">
      <c r="A5488" s="28"/>
      <c r="B5488" s="29"/>
      <c r="C5488" s="29"/>
      <c r="D5488" s="29"/>
      <c r="E5488" s="29"/>
      <c r="H5488" s="27"/>
      <c r="K5488"/>
      <c r="P5488" s="27"/>
      <c r="Q5488" s="27"/>
      <c r="R5488" s="27"/>
    </row>
    <row r="5489" spans="1:18">
      <c r="A5489" s="28"/>
      <c r="B5489" s="29"/>
      <c r="C5489" s="29"/>
      <c r="D5489" s="29"/>
      <c r="E5489" s="29"/>
      <c r="H5489" s="27"/>
      <c r="K5489"/>
      <c r="P5489" s="27"/>
      <c r="Q5489" s="27"/>
      <c r="R5489" s="27"/>
    </row>
    <row r="5490" spans="1:18">
      <c r="A5490" s="28"/>
      <c r="B5490" s="29"/>
      <c r="C5490" s="29"/>
      <c r="D5490" s="29"/>
      <c r="E5490" s="29"/>
      <c r="H5490" s="27"/>
      <c r="K5490"/>
      <c r="P5490" s="27"/>
      <c r="Q5490" s="27"/>
      <c r="R5490" s="27"/>
    </row>
    <row r="5491" spans="1:18">
      <c r="A5491" s="28"/>
      <c r="B5491" s="29"/>
      <c r="C5491" s="29"/>
      <c r="D5491" s="29"/>
      <c r="E5491" s="29"/>
      <c r="H5491" s="27"/>
      <c r="K5491"/>
      <c r="P5491" s="27"/>
      <c r="Q5491" s="27"/>
      <c r="R5491" s="27"/>
    </row>
    <row r="5492" spans="1:18">
      <c r="A5492" s="28"/>
      <c r="B5492" s="29"/>
      <c r="C5492" s="29"/>
      <c r="D5492" s="29"/>
      <c r="E5492" s="29"/>
      <c r="H5492" s="27"/>
      <c r="K5492"/>
      <c r="P5492" s="27"/>
      <c r="Q5492" s="27"/>
      <c r="R5492" s="27"/>
    </row>
    <row r="5493" spans="1:18">
      <c r="A5493" s="28"/>
      <c r="B5493" s="29"/>
      <c r="C5493" s="29"/>
      <c r="D5493" s="29"/>
      <c r="E5493" s="29"/>
      <c r="H5493" s="27"/>
      <c r="K5493"/>
      <c r="P5493" s="27"/>
      <c r="Q5493" s="27"/>
      <c r="R5493" s="27"/>
    </row>
    <row r="5494" spans="1:18">
      <c r="A5494" s="28"/>
      <c r="B5494" s="29"/>
      <c r="C5494" s="29"/>
      <c r="D5494" s="29"/>
      <c r="E5494" s="29"/>
      <c r="H5494" s="27"/>
      <c r="K5494"/>
      <c r="P5494" s="27"/>
      <c r="Q5494" s="27"/>
      <c r="R5494" s="27"/>
    </row>
    <row r="5495" spans="1:18">
      <c r="A5495" s="28"/>
      <c r="B5495" s="29"/>
      <c r="C5495" s="29"/>
      <c r="D5495" s="29"/>
      <c r="E5495" s="29"/>
      <c r="H5495" s="27"/>
      <c r="K5495"/>
      <c r="P5495" s="27"/>
      <c r="Q5495" s="27"/>
      <c r="R5495" s="27"/>
    </row>
    <row r="5496" spans="1:18">
      <c r="A5496" s="28"/>
      <c r="B5496" s="29"/>
      <c r="C5496" s="29"/>
      <c r="D5496" s="29"/>
      <c r="E5496" s="29"/>
      <c r="H5496" s="27"/>
      <c r="K5496"/>
      <c r="P5496" s="27"/>
      <c r="Q5496" s="27"/>
      <c r="R5496" s="27"/>
    </row>
    <row r="5497" spans="1:18">
      <c r="A5497" s="28"/>
      <c r="B5497" s="29"/>
      <c r="C5497" s="29"/>
      <c r="D5497" s="29"/>
      <c r="E5497" s="29"/>
      <c r="H5497" s="27"/>
      <c r="K5497"/>
      <c r="P5497" s="27"/>
      <c r="Q5497" s="27"/>
      <c r="R5497" s="27"/>
    </row>
    <row r="5498" spans="1:18">
      <c r="A5498" s="28"/>
      <c r="B5498" s="29"/>
      <c r="C5498" s="29"/>
      <c r="D5498" s="29"/>
      <c r="E5498" s="29"/>
      <c r="H5498" s="27"/>
      <c r="K5498"/>
      <c r="P5498" s="27"/>
      <c r="Q5498" s="27"/>
      <c r="R5498" s="27"/>
    </row>
    <row r="5499" spans="1:18">
      <c r="A5499" s="28"/>
      <c r="B5499" s="29"/>
      <c r="C5499" s="29"/>
      <c r="D5499" s="29"/>
      <c r="E5499" s="29"/>
      <c r="H5499" s="27"/>
      <c r="K5499"/>
      <c r="P5499" s="27"/>
      <c r="Q5499" s="27"/>
      <c r="R5499" s="27"/>
    </row>
    <row r="5500" spans="1:18">
      <c r="A5500" s="28"/>
      <c r="B5500" s="29"/>
      <c r="C5500" s="29"/>
      <c r="D5500" s="29"/>
      <c r="E5500" s="29"/>
      <c r="H5500" s="27"/>
      <c r="K5500"/>
      <c r="P5500" s="27"/>
      <c r="Q5500" s="27"/>
      <c r="R5500" s="27"/>
    </row>
    <row r="5501" spans="1:18">
      <c r="A5501" s="28"/>
      <c r="B5501" s="29"/>
      <c r="C5501" s="29"/>
      <c r="D5501" s="29"/>
      <c r="E5501" s="29"/>
      <c r="H5501" s="27"/>
      <c r="K5501"/>
      <c r="P5501" s="27"/>
      <c r="Q5501" s="27"/>
      <c r="R5501" s="27"/>
    </row>
    <row r="5502" spans="1:18">
      <c r="A5502" s="28"/>
      <c r="B5502" s="29"/>
      <c r="C5502" s="29"/>
      <c r="D5502" s="29"/>
      <c r="E5502" s="29"/>
      <c r="H5502" s="27"/>
      <c r="K5502"/>
      <c r="P5502" s="27"/>
      <c r="Q5502" s="27"/>
      <c r="R5502" s="27"/>
    </row>
    <row r="5503" spans="1:18">
      <c r="A5503" s="28"/>
      <c r="B5503" s="29"/>
      <c r="C5503" s="29"/>
      <c r="D5503" s="29"/>
      <c r="E5503" s="29"/>
      <c r="H5503" s="27"/>
      <c r="K5503"/>
      <c r="P5503" s="27"/>
      <c r="Q5503" s="27"/>
      <c r="R5503" s="27"/>
    </row>
    <row r="5504" spans="1:18">
      <c r="A5504" s="28"/>
      <c r="B5504" s="29"/>
      <c r="C5504" s="29"/>
      <c r="D5504" s="29"/>
      <c r="E5504" s="29"/>
      <c r="H5504" s="27"/>
      <c r="K5504"/>
      <c r="P5504" s="27"/>
      <c r="Q5504" s="27"/>
      <c r="R5504" s="27"/>
    </row>
    <row r="5505" spans="1:18">
      <c r="A5505" s="28"/>
      <c r="B5505" s="29"/>
      <c r="C5505" s="29"/>
      <c r="D5505" s="29"/>
      <c r="E5505" s="29"/>
      <c r="H5505" s="27"/>
      <c r="K5505"/>
      <c r="P5505" s="27"/>
      <c r="Q5505" s="27"/>
      <c r="R5505" s="27"/>
    </row>
    <row r="5506" spans="1:18">
      <c r="A5506" s="28"/>
      <c r="B5506" s="29"/>
      <c r="C5506" s="29"/>
      <c r="D5506" s="29"/>
      <c r="E5506" s="29"/>
      <c r="H5506" s="27"/>
      <c r="K5506"/>
      <c r="P5506" s="27"/>
      <c r="Q5506" s="27"/>
      <c r="R5506" s="27"/>
    </row>
    <row r="5507" spans="1:18">
      <c r="A5507" s="28"/>
      <c r="B5507" s="29"/>
      <c r="C5507" s="29"/>
      <c r="D5507" s="29"/>
      <c r="E5507" s="29"/>
      <c r="H5507" s="27"/>
      <c r="K5507"/>
      <c r="P5507" s="27"/>
      <c r="Q5507" s="27"/>
      <c r="R5507" s="27"/>
    </row>
    <row r="5508" spans="1:18">
      <c r="A5508" s="28"/>
      <c r="B5508" s="29"/>
      <c r="C5508" s="29"/>
      <c r="D5508" s="29"/>
      <c r="E5508" s="29"/>
      <c r="H5508" s="27"/>
      <c r="K5508"/>
      <c r="P5508" s="27"/>
      <c r="Q5508" s="27"/>
      <c r="R5508" s="27"/>
    </row>
    <row r="5509" spans="1:18">
      <c r="A5509" s="28"/>
      <c r="B5509" s="29"/>
      <c r="C5509" s="29"/>
      <c r="D5509" s="29"/>
      <c r="E5509" s="29"/>
      <c r="H5509" s="27"/>
      <c r="K5509"/>
      <c r="P5509" s="27"/>
      <c r="Q5509" s="27"/>
      <c r="R5509" s="27"/>
    </row>
    <row r="5510" spans="1:18">
      <c r="A5510" s="28"/>
      <c r="B5510" s="29"/>
      <c r="C5510" s="29"/>
      <c r="D5510" s="29"/>
      <c r="E5510" s="29"/>
      <c r="H5510" s="27"/>
      <c r="K5510"/>
      <c r="P5510" s="27"/>
      <c r="Q5510" s="27"/>
      <c r="R5510" s="27"/>
    </row>
    <row r="5511" spans="1:18">
      <c r="A5511" s="28"/>
      <c r="B5511" s="29"/>
      <c r="C5511" s="29"/>
      <c r="D5511" s="29"/>
      <c r="E5511" s="29"/>
      <c r="H5511" s="27"/>
      <c r="K5511"/>
      <c r="P5511" s="27"/>
      <c r="Q5511" s="27"/>
      <c r="R5511" s="27"/>
    </row>
    <row r="5512" spans="1:18">
      <c r="A5512" s="28"/>
      <c r="B5512" s="29"/>
      <c r="C5512" s="29"/>
      <c r="D5512" s="29"/>
      <c r="E5512" s="29"/>
      <c r="H5512" s="27"/>
      <c r="K5512"/>
      <c r="P5512" s="27"/>
      <c r="Q5512" s="27"/>
      <c r="R5512" s="27"/>
    </row>
    <row r="5513" spans="1:18">
      <c r="A5513" s="28"/>
      <c r="B5513" s="29"/>
      <c r="C5513" s="29"/>
      <c r="D5513" s="29"/>
      <c r="E5513" s="29"/>
      <c r="H5513" s="27"/>
      <c r="K5513"/>
      <c r="P5513" s="27"/>
      <c r="Q5513" s="27"/>
      <c r="R5513" s="27"/>
    </row>
    <row r="5514" spans="1:18">
      <c r="A5514" s="28"/>
      <c r="B5514" s="29"/>
      <c r="C5514" s="29"/>
      <c r="D5514" s="29"/>
      <c r="E5514" s="29"/>
      <c r="H5514" s="27"/>
      <c r="K5514"/>
      <c r="P5514" s="27"/>
      <c r="Q5514" s="27"/>
      <c r="R5514" s="27"/>
    </row>
    <row r="5515" spans="1:18">
      <c r="A5515" s="28"/>
      <c r="B5515" s="29"/>
      <c r="C5515" s="29"/>
      <c r="D5515" s="29"/>
      <c r="E5515" s="29"/>
      <c r="H5515" s="27"/>
      <c r="K5515"/>
      <c r="P5515" s="27"/>
      <c r="Q5515" s="27"/>
      <c r="R5515" s="27"/>
    </row>
    <row r="5516" spans="1:18">
      <c r="A5516" s="28"/>
      <c r="B5516" s="29"/>
      <c r="C5516" s="29"/>
      <c r="D5516" s="29"/>
      <c r="E5516" s="29"/>
      <c r="H5516" s="27"/>
      <c r="K5516"/>
      <c r="P5516" s="27"/>
      <c r="Q5516" s="27"/>
      <c r="R5516" s="27"/>
    </row>
    <row r="5517" spans="1:18">
      <c r="A5517" s="28"/>
      <c r="B5517" s="29"/>
      <c r="C5517" s="29"/>
      <c r="D5517" s="29"/>
      <c r="E5517" s="29"/>
      <c r="H5517" s="27"/>
      <c r="K5517"/>
      <c r="P5517" s="27"/>
      <c r="Q5517" s="27"/>
      <c r="R5517" s="27"/>
    </row>
    <row r="5518" spans="1:18">
      <c r="A5518" s="28"/>
      <c r="B5518" s="29"/>
      <c r="C5518" s="29"/>
      <c r="D5518" s="29"/>
      <c r="E5518" s="29"/>
      <c r="H5518" s="27"/>
      <c r="K5518"/>
      <c r="P5518" s="27"/>
      <c r="Q5518" s="27"/>
      <c r="R5518" s="27"/>
    </row>
    <row r="5519" spans="1:18">
      <c r="A5519" s="28"/>
      <c r="B5519" s="29"/>
      <c r="C5519" s="29"/>
      <c r="D5519" s="29"/>
      <c r="E5519" s="29"/>
      <c r="H5519" s="27"/>
      <c r="K5519"/>
      <c r="P5519" s="27"/>
      <c r="Q5519" s="27"/>
      <c r="R5519" s="27"/>
    </row>
    <row r="5520" spans="1:18">
      <c r="A5520" s="28"/>
      <c r="B5520" s="29"/>
      <c r="C5520" s="29"/>
      <c r="D5520" s="29"/>
      <c r="E5520" s="29"/>
      <c r="H5520" s="27"/>
      <c r="K5520"/>
      <c r="P5520" s="27"/>
      <c r="Q5520" s="27"/>
      <c r="R5520" s="27"/>
    </row>
    <row r="5521" spans="1:18">
      <c r="A5521" s="28"/>
      <c r="B5521" s="29"/>
      <c r="C5521" s="29"/>
      <c r="D5521" s="29"/>
      <c r="E5521" s="29"/>
      <c r="H5521" s="27"/>
      <c r="K5521"/>
      <c r="P5521" s="27"/>
      <c r="Q5521" s="27"/>
      <c r="R5521" s="27"/>
    </row>
    <row r="5522" spans="1:18">
      <c r="A5522" s="28"/>
      <c r="B5522" s="29"/>
      <c r="C5522" s="29"/>
      <c r="D5522" s="29"/>
      <c r="E5522" s="29"/>
      <c r="H5522" s="27"/>
      <c r="K5522"/>
      <c r="P5522" s="27"/>
      <c r="Q5522" s="27"/>
      <c r="R5522" s="27"/>
    </row>
    <row r="5523" spans="1:18">
      <c r="A5523" s="28"/>
      <c r="B5523" s="29"/>
      <c r="C5523" s="29"/>
      <c r="D5523" s="29"/>
      <c r="E5523" s="29"/>
      <c r="H5523" s="27"/>
      <c r="K5523"/>
      <c r="P5523" s="27"/>
      <c r="Q5523" s="27"/>
      <c r="R5523" s="27"/>
    </row>
    <row r="5524" spans="1:18">
      <c r="A5524" s="28"/>
      <c r="B5524" s="29"/>
      <c r="C5524" s="29"/>
      <c r="D5524" s="29"/>
      <c r="E5524" s="29"/>
      <c r="H5524" s="27"/>
      <c r="K5524"/>
      <c r="P5524" s="27"/>
      <c r="Q5524" s="27"/>
      <c r="R5524" s="27"/>
    </row>
    <row r="5525" spans="1:18">
      <c r="A5525" s="28"/>
      <c r="B5525" s="29"/>
      <c r="C5525" s="29"/>
      <c r="D5525" s="29"/>
      <c r="E5525" s="29"/>
      <c r="H5525" s="27"/>
      <c r="K5525"/>
      <c r="P5525" s="27"/>
      <c r="Q5525" s="27"/>
      <c r="R5525" s="27"/>
    </row>
    <row r="5526" spans="1:18">
      <c r="A5526" s="28"/>
      <c r="B5526" s="29"/>
      <c r="C5526" s="29"/>
      <c r="D5526" s="29"/>
      <c r="E5526" s="29"/>
      <c r="H5526" s="27"/>
      <c r="K5526"/>
      <c r="P5526" s="27"/>
      <c r="Q5526" s="27"/>
      <c r="R5526" s="27"/>
    </row>
    <row r="5527" spans="1:18">
      <c r="A5527" s="28"/>
      <c r="B5527" s="29"/>
      <c r="C5527" s="29"/>
      <c r="D5527" s="29"/>
      <c r="E5527" s="29"/>
      <c r="H5527" s="27"/>
      <c r="K5527"/>
      <c r="P5527" s="27"/>
      <c r="Q5527" s="27"/>
      <c r="R5527" s="27"/>
    </row>
    <row r="5528" spans="1:18">
      <c r="A5528" s="28"/>
      <c r="B5528" s="29"/>
      <c r="C5528" s="29"/>
      <c r="D5528" s="29"/>
      <c r="E5528" s="29"/>
      <c r="H5528" s="27"/>
      <c r="K5528"/>
      <c r="P5528" s="27"/>
      <c r="Q5528" s="27"/>
      <c r="R5528" s="27"/>
    </row>
    <row r="5529" spans="1:18">
      <c r="A5529" s="28"/>
      <c r="B5529" s="29"/>
      <c r="C5529" s="29"/>
      <c r="D5529" s="29"/>
      <c r="E5529" s="29"/>
      <c r="H5529" s="27"/>
      <c r="K5529"/>
      <c r="P5529" s="27"/>
      <c r="Q5529" s="27"/>
      <c r="R5529" s="27"/>
    </row>
    <row r="5530" spans="1:18">
      <c r="A5530" s="28"/>
      <c r="B5530" s="29"/>
      <c r="C5530" s="29"/>
      <c r="D5530" s="29"/>
      <c r="E5530" s="29"/>
      <c r="H5530" s="27"/>
      <c r="K5530"/>
      <c r="P5530" s="27"/>
      <c r="Q5530" s="27"/>
      <c r="R5530" s="27"/>
    </row>
    <row r="5531" spans="1:18">
      <c r="A5531" s="28"/>
      <c r="B5531" s="29"/>
      <c r="C5531" s="29"/>
      <c r="D5531" s="29"/>
      <c r="E5531" s="29"/>
      <c r="H5531" s="27"/>
      <c r="K5531"/>
      <c r="P5531" s="27"/>
      <c r="Q5531" s="27"/>
      <c r="R5531" s="27"/>
    </row>
    <row r="5532" spans="1:18">
      <c r="A5532" s="28"/>
      <c r="B5532" s="29"/>
      <c r="C5532" s="29"/>
      <c r="D5532" s="29"/>
      <c r="E5532" s="29"/>
      <c r="H5532" s="27"/>
      <c r="K5532"/>
      <c r="P5532" s="27"/>
      <c r="Q5532" s="27"/>
      <c r="R5532" s="27"/>
    </row>
    <row r="5533" spans="1:18">
      <c r="A5533" s="28"/>
      <c r="B5533" s="29"/>
      <c r="C5533" s="29"/>
      <c r="D5533" s="29"/>
      <c r="E5533" s="29"/>
      <c r="H5533" s="27"/>
      <c r="K5533"/>
      <c r="P5533" s="27"/>
      <c r="Q5533" s="27"/>
      <c r="R5533" s="27"/>
    </row>
    <row r="5534" spans="1:18">
      <c r="A5534" s="28"/>
      <c r="B5534" s="29"/>
      <c r="C5534" s="29"/>
      <c r="D5534" s="29"/>
      <c r="E5534" s="29"/>
      <c r="H5534" s="27"/>
      <c r="K5534"/>
      <c r="P5534" s="27"/>
      <c r="Q5534" s="27"/>
      <c r="R5534" s="27"/>
    </row>
    <row r="5535" spans="1:18">
      <c r="A5535" s="28"/>
      <c r="B5535" s="29"/>
      <c r="C5535" s="29"/>
      <c r="D5535" s="29"/>
      <c r="E5535" s="29"/>
      <c r="H5535" s="27"/>
      <c r="K5535"/>
      <c r="P5535" s="27"/>
      <c r="Q5535" s="27"/>
      <c r="R5535" s="27"/>
    </row>
    <row r="5536" spans="1:18">
      <c r="A5536" s="28"/>
      <c r="B5536" s="29"/>
      <c r="C5536" s="29"/>
      <c r="D5536" s="29"/>
      <c r="E5536" s="29"/>
      <c r="H5536" s="27"/>
      <c r="K5536"/>
      <c r="P5536" s="27"/>
      <c r="Q5536" s="27"/>
      <c r="R5536" s="27"/>
    </row>
    <row r="5537" spans="1:18">
      <c r="A5537" s="28"/>
      <c r="B5537" s="29"/>
      <c r="C5537" s="29"/>
      <c r="D5537" s="29"/>
      <c r="E5537" s="29"/>
      <c r="H5537" s="27"/>
      <c r="K5537"/>
      <c r="P5537" s="27"/>
      <c r="Q5537" s="27"/>
      <c r="R5537" s="27"/>
    </row>
    <row r="5538" spans="1:18">
      <c r="A5538" s="28"/>
      <c r="B5538" s="29"/>
      <c r="C5538" s="29"/>
      <c r="D5538" s="29"/>
      <c r="E5538" s="29"/>
      <c r="H5538" s="27"/>
      <c r="K5538"/>
      <c r="P5538" s="27"/>
      <c r="Q5538" s="27"/>
      <c r="R5538" s="27"/>
    </row>
    <row r="5539" spans="1:18">
      <c r="A5539" s="28"/>
      <c r="B5539" s="29"/>
      <c r="C5539" s="29"/>
      <c r="D5539" s="29"/>
      <c r="E5539" s="29"/>
      <c r="H5539" s="27"/>
      <c r="K5539"/>
      <c r="P5539" s="27"/>
      <c r="Q5539" s="27"/>
      <c r="R5539" s="27"/>
    </row>
    <row r="5540" spans="1:18">
      <c r="A5540" s="28"/>
      <c r="B5540" s="29"/>
      <c r="C5540" s="29"/>
      <c r="D5540" s="29"/>
      <c r="E5540" s="29"/>
      <c r="H5540" s="27"/>
      <c r="K5540"/>
      <c r="P5540" s="27"/>
      <c r="Q5540" s="27"/>
      <c r="R5540" s="27"/>
    </row>
    <row r="5541" spans="1:18">
      <c r="A5541" s="28"/>
      <c r="B5541" s="29"/>
      <c r="C5541" s="29"/>
      <c r="D5541" s="29"/>
      <c r="E5541" s="29"/>
      <c r="H5541" s="27"/>
      <c r="K5541"/>
      <c r="P5541" s="27"/>
      <c r="Q5541" s="27"/>
      <c r="R5541" s="27"/>
    </row>
    <row r="5542" spans="1:18">
      <c r="A5542" s="28"/>
      <c r="B5542" s="29"/>
      <c r="C5542" s="29"/>
      <c r="D5542" s="29"/>
      <c r="E5542" s="29"/>
      <c r="H5542" s="27"/>
      <c r="K5542"/>
      <c r="P5542" s="27"/>
      <c r="Q5542" s="27"/>
      <c r="R5542" s="27"/>
    </row>
    <row r="5543" spans="1:18">
      <c r="A5543" s="28"/>
      <c r="B5543" s="29"/>
      <c r="C5543" s="29"/>
      <c r="D5543" s="29"/>
      <c r="E5543" s="29"/>
      <c r="H5543" s="27"/>
      <c r="K5543"/>
      <c r="P5543" s="27"/>
      <c r="Q5543" s="27"/>
      <c r="R5543" s="27"/>
    </row>
    <row r="5544" spans="1:18">
      <c r="A5544" s="28"/>
      <c r="B5544" s="29"/>
      <c r="C5544" s="29"/>
      <c r="D5544" s="29"/>
      <c r="E5544" s="29"/>
      <c r="H5544" s="27"/>
      <c r="K5544"/>
      <c r="P5544" s="27"/>
      <c r="Q5544" s="27"/>
      <c r="R5544" s="27"/>
    </row>
    <row r="5545" spans="1:18">
      <c r="A5545" s="28"/>
      <c r="B5545" s="29"/>
      <c r="C5545" s="29"/>
      <c r="D5545" s="29"/>
      <c r="E5545" s="29"/>
      <c r="H5545" s="27"/>
      <c r="K5545"/>
      <c r="P5545" s="27"/>
      <c r="Q5545" s="27"/>
      <c r="R5545" s="27"/>
    </row>
    <row r="5546" spans="1:18">
      <c r="A5546" s="28"/>
      <c r="B5546" s="29"/>
      <c r="C5546" s="29"/>
      <c r="D5546" s="29"/>
      <c r="E5546" s="29"/>
      <c r="H5546" s="27"/>
      <c r="K5546"/>
      <c r="P5546" s="27"/>
      <c r="Q5546" s="27"/>
      <c r="R5546" s="27"/>
    </row>
    <row r="5547" spans="1:18">
      <c r="A5547" s="28"/>
      <c r="B5547" s="29"/>
      <c r="C5547" s="29"/>
      <c r="D5547" s="29"/>
      <c r="E5547" s="29"/>
      <c r="H5547" s="27"/>
      <c r="K5547"/>
      <c r="P5547" s="27"/>
      <c r="Q5547" s="27"/>
      <c r="R5547" s="27"/>
    </row>
    <row r="5548" spans="1:18">
      <c r="A5548" s="28"/>
      <c r="B5548" s="29"/>
      <c r="C5548" s="29"/>
      <c r="D5548" s="29"/>
      <c r="E5548" s="29"/>
      <c r="H5548" s="27"/>
      <c r="K5548"/>
      <c r="P5548" s="27"/>
      <c r="Q5548" s="27"/>
      <c r="R5548" s="27"/>
    </row>
    <row r="5549" spans="1:18">
      <c r="A5549" s="28"/>
      <c r="B5549" s="29"/>
      <c r="C5549" s="29"/>
      <c r="D5549" s="29"/>
      <c r="E5549" s="29"/>
      <c r="H5549" s="27"/>
      <c r="K5549"/>
      <c r="P5549" s="27"/>
      <c r="Q5549" s="27"/>
      <c r="R5549" s="27"/>
    </row>
    <row r="5550" spans="1:18">
      <c r="A5550" s="28"/>
      <c r="B5550" s="29"/>
      <c r="C5550" s="29"/>
      <c r="D5550" s="29"/>
      <c r="E5550" s="29"/>
      <c r="H5550" s="27"/>
      <c r="K5550"/>
      <c r="P5550" s="27"/>
      <c r="Q5550" s="27"/>
      <c r="R5550" s="27"/>
    </row>
    <row r="5551" spans="1:18">
      <c r="A5551" s="28"/>
      <c r="B5551" s="29"/>
      <c r="C5551" s="29"/>
      <c r="D5551" s="29"/>
      <c r="E5551" s="29"/>
      <c r="H5551" s="27"/>
      <c r="K5551"/>
      <c r="P5551" s="27"/>
      <c r="Q5551" s="27"/>
      <c r="R5551" s="27"/>
    </row>
    <row r="5552" spans="1:18">
      <c r="A5552" s="28"/>
      <c r="B5552" s="29"/>
      <c r="C5552" s="29"/>
      <c r="D5552" s="29"/>
      <c r="E5552" s="29"/>
      <c r="H5552" s="27"/>
      <c r="K5552"/>
      <c r="P5552" s="27"/>
      <c r="Q5552" s="27"/>
      <c r="R5552" s="27"/>
    </row>
    <row r="5553" spans="1:18">
      <c r="A5553" s="28"/>
      <c r="B5553" s="29"/>
      <c r="C5553" s="29"/>
      <c r="D5553" s="29"/>
      <c r="E5553" s="29"/>
      <c r="H5553" s="27"/>
      <c r="K5553"/>
      <c r="P5553" s="27"/>
      <c r="Q5553" s="27"/>
      <c r="R5553" s="27"/>
    </row>
    <row r="5554" spans="1:18">
      <c r="A5554" s="28"/>
      <c r="B5554" s="29"/>
      <c r="C5554" s="29"/>
      <c r="D5554" s="29"/>
      <c r="E5554" s="29"/>
      <c r="H5554" s="27"/>
      <c r="K5554"/>
      <c r="P5554" s="27"/>
      <c r="Q5554" s="27"/>
      <c r="R5554" s="27"/>
    </row>
    <row r="5555" spans="1:18">
      <c r="A5555" s="28"/>
      <c r="B5555" s="29"/>
      <c r="C5555" s="29"/>
      <c r="D5555" s="29"/>
      <c r="E5555" s="29"/>
      <c r="H5555" s="27"/>
      <c r="K5555"/>
      <c r="P5555" s="27"/>
      <c r="Q5555" s="27"/>
      <c r="R5555" s="27"/>
    </row>
    <row r="5556" spans="1:18">
      <c r="A5556" s="28"/>
      <c r="B5556" s="29"/>
      <c r="C5556" s="29"/>
      <c r="D5556" s="29"/>
      <c r="E5556" s="29"/>
      <c r="H5556" s="27"/>
      <c r="K5556"/>
      <c r="P5556" s="27"/>
      <c r="Q5556" s="27"/>
      <c r="R5556" s="27"/>
    </row>
    <row r="5557" spans="1:18">
      <c r="A5557" s="28"/>
      <c r="B5557" s="29"/>
      <c r="C5557" s="29"/>
      <c r="D5557" s="29"/>
      <c r="E5557" s="29"/>
      <c r="H5557" s="27"/>
      <c r="K5557"/>
      <c r="P5557" s="27"/>
      <c r="Q5557" s="27"/>
      <c r="R5557" s="27"/>
    </row>
    <row r="5558" spans="1:18">
      <c r="A5558" s="28"/>
      <c r="B5558" s="29"/>
      <c r="C5558" s="29"/>
      <c r="D5558" s="29"/>
      <c r="E5558" s="29"/>
      <c r="H5558" s="27"/>
      <c r="K5558"/>
      <c r="P5558" s="27"/>
      <c r="Q5558" s="27"/>
      <c r="R5558" s="27"/>
    </row>
    <row r="5559" spans="1:18">
      <c r="A5559" s="28"/>
      <c r="B5559" s="29"/>
      <c r="C5559" s="29"/>
      <c r="D5559" s="29"/>
      <c r="E5559" s="29"/>
      <c r="H5559" s="27"/>
      <c r="K5559"/>
      <c r="P5559" s="27"/>
      <c r="Q5559" s="27"/>
      <c r="R5559" s="27"/>
    </row>
    <row r="5560" spans="1:18">
      <c r="A5560" s="28"/>
      <c r="B5560" s="29"/>
      <c r="C5560" s="29"/>
      <c r="D5560" s="29"/>
      <c r="E5560" s="29"/>
      <c r="H5560" s="27"/>
      <c r="K5560"/>
      <c r="P5560" s="27"/>
      <c r="Q5560" s="27"/>
      <c r="R5560" s="27"/>
    </row>
    <row r="5561" spans="1:18">
      <c r="A5561" s="28"/>
      <c r="B5561" s="29"/>
      <c r="C5561" s="29"/>
      <c r="D5561" s="29"/>
      <c r="E5561" s="29"/>
      <c r="H5561" s="27"/>
      <c r="K5561"/>
      <c r="P5561" s="27"/>
      <c r="Q5561" s="27"/>
      <c r="R5561" s="27"/>
    </row>
    <row r="5562" spans="1:18">
      <c r="A5562" s="28"/>
      <c r="B5562" s="29"/>
      <c r="C5562" s="29"/>
      <c r="D5562" s="29"/>
      <c r="E5562" s="29"/>
      <c r="H5562" s="27"/>
      <c r="K5562"/>
      <c r="P5562" s="27"/>
      <c r="Q5562" s="27"/>
      <c r="R5562" s="27"/>
    </row>
    <row r="5563" spans="1:18">
      <c r="A5563" s="28"/>
      <c r="B5563" s="29"/>
      <c r="C5563" s="29"/>
      <c r="D5563" s="29"/>
      <c r="E5563" s="29"/>
      <c r="H5563" s="27"/>
      <c r="K5563"/>
      <c r="P5563" s="27"/>
      <c r="Q5563" s="27"/>
      <c r="R5563" s="27"/>
    </row>
    <row r="5564" spans="1:18">
      <c r="A5564" s="28"/>
      <c r="B5564" s="29"/>
      <c r="C5564" s="29"/>
      <c r="D5564" s="29"/>
      <c r="E5564" s="29"/>
      <c r="H5564" s="27"/>
      <c r="K5564"/>
      <c r="P5564" s="27"/>
      <c r="Q5564" s="27"/>
      <c r="R5564" s="27"/>
    </row>
    <row r="5565" spans="1:18">
      <c r="A5565" s="28"/>
      <c r="B5565" s="29"/>
      <c r="C5565" s="29"/>
      <c r="D5565" s="29"/>
      <c r="E5565" s="29"/>
      <c r="H5565" s="27"/>
      <c r="K5565"/>
      <c r="P5565" s="27"/>
      <c r="Q5565" s="27"/>
      <c r="R5565" s="27"/>
    </row>
    <row r="5566" spans="1:18">
      <c r="A5566" s="28"/>
      <c r="B5566" s="29"/>
      <c r="C5566" s="29"/>
      <c r="D5566" s="29"/>
      <c r="E5566" s="29"/>
      <c r="H5566" s="27"/>
      <c r="K5566"/>
      <c r="P5566" s="27"/>
      <c r="Q5566" s="27"/>
      <c r="R5566" s="27"/>
    </row>
    <row r="5567" spans="1:18">
      <c r="A5567" s="28"/>
      <c r="B5567" s="29"/>
      <c r="C5567" s="29"/>
      <c r="D5567" s="29"/>
      <c r="E5567" s="29"/>
      <c r="H5567" s="27"/>
      <c r="K5567"/>
      <c r="P5567" s="27"/>
      <c r="Q5567" s="27"/>
      <c r="R5567" s="27"/>
    </row>
    <row r="5568" spans="1:18">
      <c r="A5568" s="28"/>
      <c r="B5568" s="29"/>
      <c r="C5568" s="29"/>
      <c r="D5568" s="29"/>
      <c r="E5568" s="29"/>
      <c r="H5568" s="27"/>
      <c r="K5568"/>
      <c r="P5568" s="27"/>
      <c r="Q5568" s="27"/>
      <c r="R5568" s="27"/>
    </row>
    <row r="5569" spans="1:18">
      <c r="A5569" s="28"/>
      <c r="B5569" s="29"/>
      <c r="C5569" s="29"/>
      <c r="D5569" s="29"/>
      <c r="E5569" s="29"/>
      <c r="H5569" s="27"/>
      <c r="K5569"/>
      <c r="P5569" s="27"/>
      <c r="Q5569" s="27"/>
      <c r="R5569" s="27"/>
    </row>
    <row r="5570" spans="1:18">
      <c r="A5570" s="28"/>
      <c r="B5570" s="29"/>
      <c r="C5570" s="29"/>
      <c r="D5570" s="29"/>
      <c r="E5570" s="29"/>
      <c r="H5570" s="27"/>
      <c r="K5570"/>
      <c r="P5570" s="27"/>
      <c r="Q5570" s="27"/>
      <c r="R5570" s="27"/>
    </row>
    <row r="5571" spans="1:18">
      <c r="A5571" s="28"/>
      <c r="B5571" s="29"/>
      <c r="C5571" s="29"/>
      <c r="D5571" s="29"/>
      <c r="E5571" s="29"/>
      <c r="H5571" s="27"/>
      <c r="K5571"/>
      <c r="P5571" s="27"/>
      <c r="Q5571" s="27"/>
      <c r="R5571" s="27"/>
    </row>
    <row r="5572" spans="1:18">
      <c r="A5572" s="28"/>
      <c r="B5572" s="29"/>
      <c r="C5572" s="29"/>
      <c r="D5572" s="29"/>
      <c r="E5572" s="29"/>
      <c r="H5572" s="27"/>
      <c r="K5572"/>
      <c r="P5572" s="27"/>
      <c r="Q5572" s="27"/>
      <c r="R5572" s="27"/>
    </row>
    <row r="5573" spans="1:18">
      <c r="A5573" s="28"/>
      <c r="B5573" s="29"/>
      <c r="C5573" s="29"/>
      <c r="D5573" s="29"/>
      <c r="E5573" s="29"/>
      <c r="H5573" s="27"/>
      <c r="K5573"/>
      <c r="P5573" s="27"/>
      <c r="Q5573" s="27"/>
      <c r="R5573" s="27"/>
    </row>
    <row r="5574" spans="1:18">
      <c r="A5574" s="28"/>
      <c r="B5574" s="29"/>
      <c r="C5574" s="29"/>
      <c r="D5574" s="29"/>
      <c r="E5574" s="29"/>
      <c r="H5574" s="27"/>
      <c r="K5574"/>
      <c r="P5574" s="27"/>
      <c r="Q5574" s="27"/>
      <c r="R5574" s="27"/>
    </row>
    <row r="5575" spans="1:18">
      <c r="A5575" s="28"/>
      <c r="B5575" s="29"/>
      <c r="C5575" s="29"/>
      <c r="D5575" s="29"/>
      <c r="E5575" s="29"/>
      <c r="H5575" s="27"/>
      <c r="K5575"/>
      <c r="P5575" s="27"/>
      <c r="Q5575" s="27"/>
      <c r="R5575" s="27"/>
    </row>
    <row r="5576" spans="1:18">
      <c r="A5576" s="28"/>
      <c r="B5576" s="29"/>
      <c r="C5576" s="29"/>
      <c r="D5576" s="29"/>
      <c r="E5576" s="29"/>
      <c r="H5576" s="27"/>
      <c r="K5576"/>
      <c r="P5576" s="27"/>
      <c r="Q5576" s="27"/>
      <c r="R5576" s="27"/>
    </row>
    <row r="5577" spans="1:18">
      <c r="A5577" s="28"/>
      <c r="B5577" s="29"/>
      <c r="C5577" s="29"/>
      <c r="D5577" s="29"/>
      <c r="E5577" s="29"/>
      <c r="H5577" s="27"/>
      <c r="K5577"/>
      <c r="P5577" s="27"/>
      <c r="Q5577" s="27"/>
      <c r="R5577" s="27"/>
    </row>
    <row r="5578" spans="1:18">
      <c r="A5578" s="28"/>
      <c r="B5578" s="29"/>
      <c r="C5578" s="29"/>
      <c r="D5578" s="29"/>
      <c r="E5578" s="29"/>
      <c r="H5578" s="27"/>
      <c r="K5578"/>
      <c r="P5578" s="27"/>
      <c r="Q5578" s="27"/>
      <c r="R5578" s="27"/>
    </row>
    <row r="5579" spans="1:18">
      <c r="A5579" s="28"/>
      <c r="B5579" s="29"/>
      <c r="C5579" s="29"/>
      <c r="D5579" s="29"/>
      <c r="E5579" s="29"/>
      <c r="H5579" s="27"/>
      <c r="K5579"/>
      <c r="P5579" s="27"/>
      <c r="Q5579" s="27"/>
      <c r="R5579" s="27"/>
    </row>
    <row r="5580" spans="1:18">
      <c r="A5580" s="28"/>
      <c r="B5580" s="29"/>
      <c r="C5580" s="29"/>
      <c r="D5580" s="29"/>
      <c r="E5580" s="29"/>
      <c r="H5580" s="27"/>
      <c r="K5580"/>
      <c r="P5580" s="27"/>
      <c r="Q5580" s="27"/>
      <c r="R5580" s="27"/>
    </row>
    <row r="5581" spans="1:18">
      <c r="A5581" s="28"/>
      <c r="B5581" s="29"/>
      <c r="C5581" s="29"/>
      <c r="D5581" s="29"/>
      <c r="E5581" s="29"/>
      <c r="H5581" s="27"/>
      <c r="K5581"/>
      <c r="P5581" s="27"/>
      <c r="Q5581" s="27"/>
      <c r="R5581" s="27"/>
    </row>
    <row r="5582" spans="1:18">
      <c r="A5582" s="28"/>
      <c r="B5582" s="29"/>
      <c r="C5582" s="29"/>
      <c r="D5582" s="29"/>
      <c r="E5582" s="29"/>
      <c r="H5582" s="27"/>
      <c r="K5582"/>
      <c r="P5582" s="27"/>
      <c r="Q5582" s="27"/>
      <c r="R5582" s="27"/>
    </row>
    <row r="5583" spans="1:18">
      <c r="A5583" s="28"/>
      <c r="B5583" s="29"/>
      <c r="C5583" s="29"/>
      <c r="D5583" s="29"/>
      <c r="E5583" s="29"/>
      <c r="H5583" s="27"/>
      <c r="K5583"/>
      <c r="P5583" s="27"/>
      <c r="Q5583" s="27"/>
      <c r="R5583" s="27"/>
    </row>
    <row r="5584" spans="1:18">
      <c r="A5584" s="28"/>
      <c r="B5584" s="29"/>
      <c r="C5584" s="29"/>
      <c r="D5584" s="29"/>
      <c r="E5584" s="29"/>
      <c r="H5584" s="27"/>
      <c r="K5584"/>
      <c r="P5584" s="27"/>
      <c r="Q5584" s="27"/>
      <c r="R5584" s="27"/>
    </row>
    <row r="5585" spans="1:18">
      <c r="A5585" s="28"/>
      <c r="B5585" s="29"/>
      <c r="C5585" s="29"/>
      <c r="D5585" s="29"/>
      <c r="E5585" s="29"/>
      <c r="H5585" s="27"/>
      <c r="K5585"/>
      <c r="P5585" s="27"/>
      <c r="Q5585" s="27"/>
      <c r="R5585" s="27"/>
    </row>
    <row r="5586" spans="1:18">
      <c r="A5586" s="28"/>
      <c r="B5586" s="29"/>
      <c r="C5586" s="29"/>
      <c r="D5586" s="29"/>
      <c r="E5586" s="29"/>
      <c r="H5586" s="27"/>
      <c r="K5586"/>
      <c r="P5586" s="27"/>
      <c r="Q5586" s="27"/>
      <c r="R5586" s="27"/>
    </row>
    <row r="5587" spans="1:18">
      <c r="A5587" s="28"/>
      <c r="B5587" s="29"/>
      <c r="C5587" s="29"/>
      <c r="D5587" s="29"/>
      <c r="E5587" s="29"/>
      <c r="H5587" s="27"/>
      <c r="K5587"/>
      <c r="P5587" s="27"/>
      <c r="Q5587" s="27"/>
      <c r="R5587" s="27"/>
    </row>
    <row r="5588" spans="1:18">
      <c r="A5588" s="28"/>
      <c r="B5588" s="29"/>
      <c r="C5588" s="29"/>
      <c r="D5588" s="29"/>
      <c r="E5588" s="29"/>
      <c r="H5588" s="27"/>
      <c r="K5588"/>
      <c r="P5588" s="27"/>
      <c r="Q5588" s="27"/>
      <c r="R5588" s="27"/>
    </row>
    <row r="5589" spans="1:18">
      <c r="A5589" s="28"/>
      <c r="B5589" s="29"/>
      <c r="C5589" s="29"/>
      <c r="D5589" s="29"/>
      <c r="E5589" s="29"/>
      <c r="H5589" s="27"/>
      <c r="K5589"/>
      <c r="N5589" s="31"/>
    </row>
    <row r="5590" spans="1:18">
      <c r="A5590" s="28"/>
      <c r="B5590" s="29"/>
      <c r="C5590" s="29"/>
      <c r="D5590" s="29"/>
      <c r="E5590" s="29"/>
      <c r="H5590" s="27"/>
      <c r="K5590"/>
      <c r="N5590" s="31"/>
    </row>
  </sheetData>
  <mergeCells count="24">
    <mergeCell ref="K2:K6"/>
    <mergeCell ref="A3:B3"/>
    <mergeCell ref="C3:D3"/>
    <mergeCell ref="A4:B4"/>
    <mergeCell ref="C4:D4"/>
    <mergeCell ref="A5:B5"/>
    <mergeCell ref="C5:D5"/>
    <mergeCell ref="A6:B6"/>
    <mergeCell ref="C6:D6"/>
    <mergeCell ref="A1:D1"/>
    <mergeCell ref="E1:G1"/>
    <mergeCell ref="H1:J1"/>
    <mergeCell ref="A2:B2"/>
    <mergeCell ref="C2:D2"/>
    <mergeCell ref="A7:B7"/>
    <mergeCell ref="C7:D7"/>
    <mergeCell ref="K7:K11"/>
    <mergeCell ref="A8:B8"/>
    <mergeCell ref="C8:D8"/>
    <mergeCell ref="A9:B9"/>
    <mergeCell ref="A10:B10"/>
    <mergeCell ref="C10:D10"/>
    <mergeCell ref="A11:B11"/>
    <mergeCell ref="C11:D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Santangelo</dc:creator>
  <cp:lastModifiedBy>Vincent Santangelo</cp:lastModifiedBy>
  <dcterms:created xsi:type="dcterms:W3CDTF">2025-10-07T16:00:13Z</dcterms:created>
  <dcterms:modified xsi:type="dcterms:W3CDTF">2025-11-17T16:56:36Z</dcterms:modified>
</cp:coreProperties>
</file>